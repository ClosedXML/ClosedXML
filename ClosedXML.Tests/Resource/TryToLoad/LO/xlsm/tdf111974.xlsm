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dkk1mma\Desktop\Mario's Folder\Daily Reports\Chicago 6 Day Report\2017\"/>
    </mc:Choice>
  </mc:AlternateContent>
  <bookViews>
    <workbookView xWindow="14070" yWindow="0" windowWidth="15360" windowHeight="7320" firstSheet="1" activeTab="1"/>
  </bookViews>
  <sheets>
    <sheet name="XXXXX" sheetId="1" state="veryHidden" r:id="rId1"/>
    <sheet name="OP PLAN" sheetId="2" r:id="rId2"/>
    <sheet name="Roll Weeks" sheetId="5" state="hidden" r:id="rId3"/>
    <sheet name="14 CY Downweeks" sheetId="7" state="hidden" r:id="rId4"/>
    <sheet name="Roll weeks macro" sheetId="8" state="veryHidden" r:id=""/>
    <sheet name="Module1" sheetId="9" state="veryHidden" r:id=""/>
    <sheet name="15 CY Downweeks" sheetId="14" state="hidden" r:id="rId5"/>
    <sheet name="16 CY Downweeks" sheetId="22" state="hidden" r:id="rId6"/>
    <sheet name="OP LTR" sheetId="24" r:id="rId7"/>
    <sheet name="17 CY Downweeks" sheetId="23" r:id="rId8"/>
  </sheets>
  <definedNames>
    <definedName name="Plant1">"Kansas City"</definedName>
    <definedName name="Plant2" function="1" xlm="1">"Cuautitlan"</definedName>
    <definedName name="_xlnm.Print_Area" localSheetId="8">'OP LTR'!$A$1:$C$56</definedName>
    <definedName name="_xlnm.Print_Area" localSheetId="1">'OP PLAN'!$A$2:$CA$123</definedName>
    <definedName name="Vehicle1" function="1" xlm="1">"Contour"</definedName>
    <definedName name="Vehicle2" function="1" xlm="1">"Mystique"</definedName>
    <definedName name="Z_08C15DDF_888A_4EA7_BBDA_6FF36DAC46FE_.wvu.Cols" localSheetId="3" hidden="1">'14 CY Downweeks'!$N:$N</definedName>
    <definedName name="Z_08C15DDF_888A_4EA7_BBDA_6FF36DAC46FE_.wvu.Cols" localSheetId="6" hidden="1">'15 CY Downweeks'!$N:$N</definedName>
    <definedName name="Z_08C15DDF_888A_4EA7_BBDA_6FF36DAC46FE_.wvu.Cols" localSheetId="7" hidden="1">'16 CY Downweeks'!$N:$N</definedName>
    <definedName name="Z_08C15DDF_888A_4EA7_BBDA_6FF36DAC46FE_.wvu.Cols" localSheetId="9" hidden="1">'17 CY Downweeks'!$N:$N</definedName>
    <definedName name="Z_08C15DDF_888A_4EA7_BBDA_6FF36DAC46FE_.wvu.Cols" localSheetId="1" hidden="1">'OP PLAN'!#REF!</definedName>
    <definedName name="Z_08C15DDF_888A_4EA7_BBDA_6FF36DAC46FE_.wvu.PrintArea" localSheetId="8" hidden="1">'OP LTR'!$B$1:$C$57</definedName>
    <definedName name="Z_08C15DDF_888A_4EA7_BBDA_6FF36DAC46FE_.wvu.PrintArea" localSheetId="1" hidden="1">'OP PLAN'!$A$2:$CA$123</definedName>
    <definedName name="Z_08C15DDF_888A_4EA7_BBDA_6FF36DAC46FE_.wvu.Rows" localSheetId="3" hidden="1">'14 CY Downweeks'!$25:$28</definedName>
    <definedName name="Z_08C15DDF_888A_4EA7_BBDA_6FF36DAC46FE_.wvu.Rows" localSheetId="6" hidden="1">'15 CY Downweeks'!$25:$28</definedName>
    <definedName name="Z_08C15DDF_888A_4EA7_BBDA_6FF36DAC46FE_.wvu.Rows" localSheetId="7" hidden="1">'16 CY Downweeks'!$25:$28</definedName>
    <definedName name="Z_08C15DDF_888A_4EA7_BBDA_6FF36DAC46FE_.wvu.Rows" localSheetId="9" hidden="1">'17 CY Downweeks'!$25:$28</definedName>
    <definedName name="Z_08C15DDF_888A_4EA7_BBDA_6FF36DAC46FE_.wvu.Rows" localSheetId="8" hidden="1">'OP LTR'!#REF!</definedName>
    <definedName name="Z_08C15DDF_888A_4EA7_BBDA_6FF36DAC46FE_.wvu.Rows" localSheetId="1" hidden="1">'OP PLAN'!$9:$10,'OP PLAN'!#REF!</definedName>
    <definedName name="Z_9B688151_B216_4D15_BAF0_B3C14436A635_.wvu.Cols" localSheetId="3" hidden="1">'14 CY Downweeks'!$N:$N</definedName>
    <definedName name="Z_9B688151_B216_4D15_BAF0_B3C14436A635_.wvu.Cols" localSheetId="6" hidden="1">'15 CY Downweeks'!$N:$N</definedName>
    <definedName name="Z_9B688151_B216_4D15_BAF0_B3C14436A635_.wvu.Cols" localSheetId="7" hidden="1">'16 CY Downweeks'!$N:$N</definedName>
    <definedName name="Z_9B688151_B216_4D15_BAF0_B3C14436A635_.wvu.Cols" localSheetId="9" hidden="1">'17 CY Downweeks'!$N:$N</definedName>
    <definedName name="Z_9B688151_B216_4D15_BAF0_B3C14436A635_.wvu.Cols" localSheetId="1" hidden="1">'OP PLAN'!#REF!</definedName>
    <definedName name="Z_9B688151_B216_4D15_BAF0_B3C14436A635_.wvu.PrintArea" localSheetId="8" hidden="1">'OP LTR'!$B$1:$C$57</definedName>
    <definedName name="Z_9B688151_B216_4D15_BAF0_B3C14436A635_.wvu.PrintArea" localSheetId="1" hidden="1">'OP PLAN'!$A$2:$CA$123</definedName>
    <definedName name="Z_9B688151_B216_4D15_BAF0_B3C14436A635_.wvu.Rows" localSheetId="3" hidden="1">'14 CY Downweeks'!$25:$28</definedName>
    <definedName name="Z_9B688151_B216_4D15_BAF0_B3C14436A635_.wvu.Rows" localSheetId="6" hidden="1">'15 CY Downweeks'!$25:$28</definedName>
    <definedName name="Z_9B688151_B216_4D15_BAF0_B3C14436A635_.wvu.Rows" localSheetId="7" hidden="1">'16 CY Downweeks'!$25:$28</definedName>
    <definedName name="Z_9B688151_B216_4D15_BAF0_B3C14436A635_.wvu.Rows" localSheetId="9" hidden="1">'17 CY Downweeks'!$25:$28</definedName>
    <definedName name="Z_9B688151_B216_4D15_BAF0_B3C14436A635_.wvu.Rows" localSheetId="8" hidden="1">'OP LTR'!#REF!</definedName>
    <definedName name="Z_9B688151_B216_4D15_BAF0_B3C14436A635_.wvu.Rows" localSheetId="1" hidden="1">'OP PLAN'!$9:$10,'OP PLAN'!#REF!</definedName>
  </definedNames>
  <calcPr calcId="162913"/>
  <customWorkbookViews>
    <customWorkbookView name="Weber, Linda Franz (L.F.) - Personal View" guid="{08C15DDF-888A-4EA7-BBDA-6FF36DAC46FE}" mergeInterval="0" personalView="1" maximized="1" windowWidth="1920" windowHeight="858" tabRatio="838" activeSheetId="3"/>
    <customWorkbookView name="Yankauskas, Mary (M.M.) - Personal View" guid="{9B688151-B216-4D15-BAF0-B3C14436A635}" mergeInterval="0" personalView="1" maximized="1" windowWidth="1916" windowHeight="824" tabRatio="838" activeSheetId="2"/>
  </customWorkbookViews>
</workbook>
</file>

<file path=xl/calcChain.xml><?xml version="1.0" encoding="utf-8"?>
<calcChain xmlns="http://schemas.openxmlformats.org/spreadsheetml/2006/main">
  <c r="CL125" i="2" l="1"/>
  <c r="CM125" i="2"/>
  <c r="CM111" i="2" l="1"/>
  <c r="CM118" i="2" l="1"/>
  <c r="CM114" i="2" l="1"/>
  <c r="CM130" i="2" l="1"/>
  <c r="CL105" i="2" l="1"/>
  <c r="CL96" i="2"/>
  <c r="CL95" i="2"/>
  <c r="CL130" i="2"/>
  <c r="CL118" i="2"/>
  <c r="CL114" i="2"/>
  <c r="CL111" i="2"/>
  <c r="BZ50" i="2"/>
  <c r="BN50" i="2"/>
  <c r="BQ50" i="2" s="1"/>
  <c r="BT50" i="2" s="1"/>
  <c r="BQ48" i="2"/>
  <c r="V50" i="2"/>
  <c r="Y50" i="2" s="1"/>
  <c r="AB50" i="2" s="1"/>
  <c r="AE50" i="2" s="1"/>
  <c r="AH50" i="2" s="1"/>
  <c r="AK50" i="2" s="1"/>
  <c r="AN50" i="2" s="1"/>
  <c r="AS50" i="2" s="1"/>
  <c r="AV50" i="2" s="1"/>
  <c r="AY50" i="2" s="1"/>
  <c r="BB50" i="2" s="1"/>
  <c r="BE50" i="2" s="1"/>
  <c r="BH50" i="2" s="1"/>
  <c r="AP34" i="2" l="1"/>
  <c r="A2" i="24" l="1"/>
  <c r="CJ186" i="2" l="1"/>
  <c r="CI118" i="2" l="1"/>
  <c r="CJ118" i="2"/>
  <c r="CK118" i="2"/>
  <c r="CH118" i="2"/>
  <c r="CK114" i="2" l="1"/>
  <c r="CJ114" i="2"/>
  <c r="CK130" i="2" l="1"/>
  <c r="CK125" i="2"/>
  <c r="CK122" i="2"/>
  <c r="CK117" i="2"/>
  <c r="CK111" i="2"/>
  <c r="CN105" i="2"/>
  <c r="CO104" i="2"/>
  <c r="CO103" i="2"/>
  <c r="CO102" i="2"/>
  <c r="CO101" i="2"/>
  <c r="CO100" i="2"/>
  <c r="CO99" i="2"/>
  <c r="CO98" i="2"/>
  <c r="CO97" i="2"/>
  <c r="CO94" i="2"/>
  <c r="CO93" i="2"/>
  <c r="CO92" i="2"/>
  <c r="CO91" i="2"/>
  <c r="CO90" i="2"/>
  <c r="CO89" i="2"/>
  <c r="CN95" i="2"/>
  <c r="CI111" i="2" l="1"/>
  <c r="CH111" i="2"/>
  <c r="CK95" i="2" l="1"/>
  <c r="CJ95" i="2"/>
  <c r="CI95" i="2"/>
  <c r="CJ130" i="2"/>
  <c r="CI130" i="2"/>
  <c r="CH130" i="2"/>
  <c r="CJ125" i="2"/>
  <c r="CI125" i="2"/>
  <c r="CH125" i="2"/>
  <c r="CJ122" i="2"/>
  <c r="CI122" i="2"/>
  <c r="CH122" i="2"/>
  <c r="CH117" i="2"/>
  <c r="CI114" i="2"/>
  <c r="CH114" i="2"/>
  <c r="CJ111" i="2"/>
  <c r="CK105" i="2" l="1"/>
  <c r="CJ105" i="2"/>
  <c r="CI105" i="2"/>
  <c r="CK96" i="2"/>
  <c r="CJ96" i="2"/>
  <c r="CI96" i="2"/>
  <c r="CJ168" i="2" l="1"/>
  <c r="AP37" i="2" l="1"/>
  <c r="AP36" i="2"/>
  <c r="AP35" i="2"/>
  <c r="AP32" i="2"/>
  <c r="AP28" i="2"/>
  <c r="AP26" i="2"/>
  <c r="KS132" i="2" l="1"/>
  <c r="KU132" i="2" s="1"/>
  <c r="KY132" i="2" l="1"/>
  <c r="O13" i="22" l="1"/>
  <c r="O16" i="23" l="1"/>
  <c r="O31" i="23" l="1"/>
  <c r="N31" i="23"/>
  <c r="O30" i="23"/>
  <c r="N30" i="23"/>
  <c r="O29" i="23"/>
  <c r="N29" i="23"/>
  <c r="O28" i="23"/>
  <c r="N28" i="23"/>
  <c r="O27" i="23"/>
  <c r="N27" i="23"/>
  <c r="O26" i="23"/>
  <c r="N26" i="23"/>
  <c r="O25" i="23"/>
  <c r="N25" i="23"/>
  <c r="O24" i="23"/>
  <c r="N24" i="23"/>
  <c r="O23" i="23"/>
  <c r="N23" i="23"/>
  <c r="O22" i="23"/>
  <c r="N22" i="23"/>
  <c r="O21" i="23"/>
  <c r="N21" i="23"/>
  <c r="O20" i="23"/>
  <c r="N20" i="23"/>
  <c r="O19" i="23"/>
  <c r="N19" i="23"/>
  <c r="O18" i="23"/>
  <c r="N18" i="23"/>
  <c r="O17" i="23"/>
  <c r="N17" i="23"/>
  <c r="N16" i="23"/>
  <c r="O15" i="23"/>
  <c r="N15" i="23"/>
  <c r="O14" i="23"/>
  <c r="N14" i="23"/>
  <c r="N13" i="23"/>
  <c r="O12" i="23"/>
  <c r="N12" i="23"/>
  <c r="O11" i="23"/>
  <c r="N11" i="23"/>
  <c r="O10" i="23"/>
  <c r="N10" i="23"/>
  <c r="O9" i="23"/>
  <c r="N9" i="23"/>
  <c r="O8" i="23"/>
  <c r="N8" i="23"/>
  <c r="O7" i="23"/>
  <c r="N7" i="23"/>
  <c r="O6" i="23"/>
  <c r="N6" i="23"/>
  <c r="O5" i="23"/>
  <c r="N5" i="23"/>
  <c r="O4" i="23"/>
  <c r="N4" i="23"/>
  <c r="O3" i="23"/>
  <c r="N3" i="23"/>
  <c r="O32" i="23" l="1"/>
  <c r="N32" i="23"/>
  <c r="LA132" i="2" l="1"/>
  <c r="KY134" i="2"/>
  <c r="LA134" i="2" s="1"/>
  <c r="KZ134" i="2"/>
  <c r="LB134" i="2" s="1"/>
  <c r="LC132" i="2" l="1"/>
  <c r="LE132" i="2" s="1"/>
  <c r="LG132" i="2" s="1"/>
  <c r="LI132" i="2" s="1"/>
  <c r="LK132" i="2" s="1"/>
  <c r="LM132" i="2" s="1"/>
  <c r="LO132" i="2" s="1"/>
  <c r="LQ132" i="2" s="1"/>
  <c r="LS132" i="2" s="1"/>
  <c r="LU132" i="2" s="1"/>
  <c r="LW132" i="2" s="1"/>
  <c r="LY132" i="2" s="1"/>
  <c r="MA132" i="2" s="1"/>
  <c r="MC132" i="2" s="1"/>
  <c r="ME132" i="2" s="1"/>
  <c r="MG132" i="2" s="1"/>
  <c r="MI132" i="2" s="1"/>
  <c r="MK132" i="2" s="1"/>
  <c r="MM132" i="2" s="1"/>
  <c r="MO132" i="2" s="1"/>
  <c r="MQ132" i="2" s="1"/>
  <c r="MS132" i="2" s="1"/>
  <c r="MU132" i="2" s="1"/>
  <c r="LC134" i="2"/>
  <c r="LE134" i="2" s="1"/>
  <c r="LD134" i="2"/>
  <c r="LF134" i="2" s="1"/>
  <c r="AP25" i="2"/>
  <c r="AP24" i="2"/>
  <c r="AP23" i="2"/>
  <c r="AP22" i="2"/>
  <c r="AP21" i="2"/>
  <c r="AP20" i="2"/>
  <c r="MW132" i="2" l="1"/>
  <c r="MY132" i="2" s="1"/>
  <c r="NA132" i="2" s="1"/>
  <c r="NC132" i="2" s="1"/>
  <c r="NE132" i="2" s="1"/>
  <c r="NG132" i="2" s="1"/>
  <c r="LH134" i="2"/>
  <c r="LJ134" i="2" s="1"/>
  <c r="LL134" i="2" s="1"/>
  <c r="LN134" i="2" s="1"/>
  <c r="LP134" i="2" s="1"/>
  <c r="LG134" i="2"/>
  <c r="LI134" i="2" s="1"/>
  <c r="LK134" i="2" s="1"/>
  <c r="LM134" i="2" s="1"/>
  <c r="LO134" i="2" s="1"/>
  <c r="AP19" i="2"/>
  <c r="AP18" i="2"/>
  <c r="AP17" i="2"/>
  <c r="AP31" i="2"/>
  <c r="AP30" i="2"/>
  <c r="AP29" i="2"/>
  <c r="NI132" i="2" l="1"/>
  <c r="NK132" i="2" s="1"/>
  <c r="NM132" i="2" s="1"/>
  <c r="NO132" i="2" s="1"/>
  <c r="NQ132" i="2" s="1"/>
  <c r="NS132" i="2" s="1"/>
  <c r="NU132" i="2" s="1"/>
  <c r="NW132" i="2" s="1"/>
  <c r="NY132" i="2" s="1"/>
  <c r="OA132" i="2" s="1"/>
  <c r="OC132" i="2" s="1"/>
  <c r="OE132" i="2" s="1"/>
  <c r="OG132" i="2" s="1"/>
  <c r="LR134" i="2"/>
  <c r="LQ134" i="2"/>
  <c r="CJ177" i="2"/>
  <c r="CJ176" i="2"/>
  <c r="CJ175" i="2"/>
  <c r="CJ193" i="2"/>
  <c r="CJ192" i="2"/>
  <c r="CJ191" i="2"/>
  <c r="CJ190" i="2"/>
  <c r="CJ189" i="2"/>
  <c r="CJ188" i="2"/>
  <c r="CJ174" i="2"/>
  <c r="CJ173" i="2"/>
  <c r="CJ172" i="2"/>
  <c r="CJ171" i="2"/>
  <c r="CJ170" i="2"/>
  <c r="CJ179" i="2"/>
  <c r="CJ178" i="2"/>
  <c r="CJ185" i="2"/>
  <c r="CJ184" i="2"/>
  <c r="CJ183" i="2"/>
  <c r="CJ182" i="2"/>
  <c r="CJ181" i="2"/>
  <c r="CJ180" i="2"/>
  <c r="CJ187" i="2"/>
  <c r="CJ169" i="2"/>
  <c r="CJ167" i="2"/>
  <c r="LT134" i="2" l="1"/>
  <c r="LV134" i="2" s="1"/>
  <c r="LS134" i="2"/>
  <c r="LU134" i="2" s="1"/>
  <c r="CO95" i="2"/>
  <c r="LW134" i="2" l="1"/>
  <c r="LY134" i="2" s="1"/>
  <c r="MA134" i="2" s="1"/>
  <c r="MC134" i="2" s="1"/>
  <c r="ME134" i="2" s="1"/>
  <c r="MG134" i="2" s="1"/>
  <c r="LX134" i="2"/>
  <c r="LZ134" i="2" s="1"/>
  <c r="MB134" i="2" s="1"/>
  <c r="MD134" i="2" s="1"/>
  <c r="MF134" i="2" s="1"/>
  <c r="MH134" i="2" s="1"/>
  <c r="AP11" i="2"/>
  <c r="AP12" i="2"/>
  <c r="AP13" i="2"/>
  <c r="MJ134" i="2" l="1"/>
  <c r="ML134" i="2" s="1"/>
  <c r="MN134" i="2" s="1"/>
  <c r="MP134" i="2" s="1"/>
  <c r="MI134" i="2"/>
  <c r="MK134" i="2" s="1"/>
  <c r="MM134" i="2" s="1"/>
  <c r="MO134" i="2" s="1"/>
  <c r="O11" i="14"/>
  <c r="MR134" i="2" l="1"/>
  <c r="MT134" i="2" s="1"/>
  <c r="MV134" i="2" s="1"/>
  <c r="MQ134" i="2"/>
  <c r="MS134" i="2" s="1"/>
  <c r="MU134" i="2" s="1"/>
  <c r="O31" i="22"/>
  <c r="N31" i="22"/>
  <c r="O30" i="22"/>
  <c r="N30" i="22"/>
  <c r="O29" i="22"/>
  <c r="N29" i="22"/>
  <c r="O28" i="22"/>
  <c r="N28" i="22"/>
  <c r="O27" i="22"/>
  <c r="N27" i="22"/>
  <c r="O26" i="22"/>
  <c r="N26" i="22"/>
  <c r="O25" i="22"/>
  <c r="N25" i="22"/>
  <c r="O24" i="22"/>
  <c r="N24" i="22"/>
  <c r="O23" i="22"/>
  <c r="N23" i="22"/>
  <c r="O22" i="22"/>
  <c r="N22" i="22"/>
  <c r="O21" i="22"/>
  <c r="N21" i="22"/>
  <c r="O20" i="22"/>
  <c r="N20" i="22"/>
  <c r="O19" i="22"/>
  <c r="N19" i="22"/>
  <c r="O18" i="22"/>
  <c r="N18" i="22"/>
  <c r="O17" i="22"/>
  <c r="N17" i="22"/>
  <c r="N16" i="22"/>
  <c r="O15" i="22"/>
  <c r="N15" i="22"/>
  <c r="O14" i="22"/>
  <c r="N14" i="22"/>
  <c r="N13" i="22"/>
  <c r="O12" i="22"/>
  <c r="N12" i="22"/>
  <c r="O11" i="22"/>
  <c r="N11" i="22"/>
  <c r="O10" i="22"/>
  <c r="N10" i="22"/>
  <c r="O9" i="22"/>
  <c r="N9" i="22"/>
  <c r="O8" i="22"/>
  <c r="N8" i="22"/>
  <c r="O7" i="22"/>
  <c r="N7" i="22"/>
  <c r="O6" i="22"/>
  <c r="N6" i="22"/>
  <c r="O5" i="22"/>
  <c r="N5" i="22"/>
  <c r="O4" i="22"/>
  <c r="N4" i="22"/>
  <c r="O3" i="22"/>
  <c r="N3" i="22"/>
  <c r="MW134" i="2" l="1"/>
  <c r="MY134" i="2" s="1"/>
  <c r="NA134" i="2" s="1"/>
  <c r="NC134" i="2" s="1"/>
  <c r="NE134" i="2" s="1"/>
  <c r="NG134" i="2" s="1"/>
  <c r="MX134" i="2"/>
  <c r="MZ134" i="2" s="1"/>
  <c r="NB134" i="2" s="1"/>
  <c r="ND134" i="2" s="1"/>
  <c r="NF134" i="2" s="1"/>
  <c r="NH134" i="2" s="1"/>
  <c r="N32" i="22"/>
  <c r="O32" i="22"/>
  <c r="NJ134" i="2" l="1"/>
  <c r="NL134" i="2" s="1"/>
  <c r="NN134" i="2" s="1"/>
  <c r="NP134" i="2" s="1"/>
  <c r="NR134" i="2" s="1"/>
  <c r="NT134" i="2" s="1"/>
  <c r="NI134" i="2"/>
  <c r="NK134" i="2" s="1"/>
  <c r="NM134" i="2" s="1"/>
  <c r="NO134" i="2" s="1"/>
  <c r="NQ134" i="2" s="1"/>
  <c r="NS134" i="2" s="1"/>
  <c r="AP47" i="2"/>
  <c r="AP44" i="2"/>
  <c r="AP41" i="2"/>
  <c r="NV134" i="2" l="1"/>
  <c r="NX134" i="2" s="1"/>
  <c r="NZ134" i="2" s="1"/>
  <c r="OB134" i="2" s="1"/>
  <c r="OD134" i="2" s="1"/>
  <c r="OF134" i="2" s="1"/>
  <c r="OH134" i="2" s="1"/>
  <c r="NU134" i="2"/>
  <c r="NW134" i="2" s="1"/>
  <c r="NY134" i="2" s="1"/>
  <c r="OA134" i="2" s="1"/>
  <c r="OC134" i="2" s="1"/>
  <c r="OE134" i="2" s="1"/>
  <c r="OG134" i="2" s="1"/>
  <c r="AP49" i="2"/>
  <c r="AP43" i="2"/>
  <c r="AP40" i="2"/>
  <c r="AP16" i="2"/>
  <c r="R32" i="14" l="1"/>
  <c r="Q32" i="14"/>
  <c r="P32" i="14"/>
  <c r="O31" i="14"/>
  <c r="N31" i="14"/>
  <c r="O30" i="14"/>
  <c r="N30" i="14"/>
  <c r="O29" i="14"/>
  <c r="N29" i="14"/>
  <c r="O28" i="14"/>
  <c r="N28" i="14"/>
  <c r="O27" i="14"/>
  <c r="N27" i="14"/>
  <c r="O26" i="14"/>
  <c r="N26" i="14"/>
  <c r="O25" i="14"/>
  <c r="N25" i="14"/>
  <c r="O24" i="14"/>
  <c r="N24" i="14"/>
  <c r="O23" i="14"/>
  <c r="N23" i="14"/>
  <c r="O22" i="14"/>
  <c r="N22" i="14"/>
  <c r="O21" i="14"/>
  <c r="N21" i="14"/>
  <c r="O20" i="14"/>
  <c r="N20" i="14"/>
  <c r="O19" i="14"/>
  <c r="N19" i="14"/>
  <c r="O18" i="14"/>
  <c r="N18" i="14"/>
  <c r="O17" i="14"/>
  <c r="N17" i="14"/>
  <c r="O16" i="14"/>
  <c r="N16" i="14"/>
  <c r="O15" i="14"/>
  <c r="N15" i="14"/>
  <c r="O14" i="14"/>
  <c r="N14" i="14"/>
  <c r="O13" i="14"/>
  <c r="N13" i="14"/>
  <c r="O12" i="14"/>
  <c r="N12" i="14"/>
  <c r="N11" i="14"/>
  <c r="O10" i="14"/>
  <c r="N10" i="14"/>
  <c r="O9" i="14"/>
  <c r="N9" i="14"/>
  <c r="O8" i="14"/>
  <c r="N8" i="14"/>
  <c r="O7" i="14"/>
  <c r="N7" i="14"/>
  <c r="O6" i="14"/>
  <c r="N6" i="14"/>
  <c r="O5" i="14"/>
  <c r="N5" i="14"/>
  <c r="O4" i="14"/>
  <c r="N4" i="14"/>
  <c r="O3" i="14"/>
  <c r="N3" i="14"/>
  <c r="O32" i="14" l="1"/>
  <c r="N32" i="14"/>
  <c r="AS2" i="2" l="1"/>
  <c r="AP2" i="2"/>
  <c r="R32" i="7"/>
  <c r="Q32" i="7"/>
  <c r="P32" i="7"/>
  <c r="O31" i="7"/>
  <c r="O30" i="7"/>
  <c r="O29" i="7"/>
  <c r="O28" i="7"/>
  <c r="O27" i="7"/>
  <c r="O26" i="7"/>
  <c r="O25" i="7"/>
  <c r="O24" i="7"/>
  <c r="O23" i="7"/>
  <c r="O22" i="7"/>
  <c r="O21" i="7"/>
  <c r="O20" i="7"/>
  <c r="O19" i="7"/>
  <c r="O18" i="7"/>
  <c r="O17" i="7"/>
  <c r="O16" i="7"/>
  <c r="O15" i="7"/>
  <c r="O14" i="7"/>
  <c r="O13" i="7"/>
  <c r="O12" i="7"/>
  <c r="O11" i="7"/>
  <c r="O10" i="7"/>
  <c r="O9" i="7"/>
  <c r="O8" i="7"/>
  <c r="O7" i="7"/>
  <c r="O6" i="7"/>
  <c r="O5" i="7"/>
  <c r="O4" i="7"/>
  <c r="O3"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 r="CO105" i="2"/>
  <c r="CO96" i="2"/>
  <c r="AP15" i="2"/>
  <c r="AP39" i="2"/>
  <c r="AP14" i="2"/>
  <c r="AP42" i="2"/>
  <c r="AP38" i="2"/>
  <c r="N32" i="7" l="1"/>
  <c r="O32" i="7"/>
</calcChain>
</file>

<file path=xl/sharedStrings.xml><?xml version="1.0" encoding="utf-8"?>
<sst xmlns="http://schemas.openxmlformats.org/spreadsheetml/2006/main" count="1273" uniqueCount="352">
  <si>
    <t xml:space="preserve"> </t>
  </si>
  <si>
    <t>U.S. / Canada / Mexico</t>
  </si>
  <si>
    <t>JPH</t>
  </si>
  <si>
    <t>U.S./Canada/Mexico</t>
  </si>
  <si>
    <t>D/W</t>
  </si>
  <si>
    <t xml:space="preserve">          Matl. Prot.</t>
  </si>
  <si>
    <t xml:space="preserve">  </t>
  </si>
  <si>
    <t>Tot</t>
  </si>
  <si>
    <t>Mustang</t>
  </si>
  <si>
    <t>Expedition</t>
  </si>
  <si>
    <t>Navigator</t>
  </si>
  <si>
    <t>Econoline</t>
  </si>
  <si>
    <t xml:space="preserve">    HOLIDAYS   </t>
  </si>
  <si>
    <t xml:space="preserve">   LEGEND   </t>
  </si>
  <si>
    <t xml:space="preserve"> = Changes</t>
  </si>
  <si>
    <t xml:space="preserve">   U = U.S.</t>
  </si>
  <si>
    <t xml:space="preserve">H = Hermosillo </t>
  </si>
  <si>
    <t xml:space="preserve">FAC </t>
  </si>
  <si>
    <t xml:space="preserve"> = Facilities down time</t>
  </si>
  <si>
    <t xml:space="preserve"> = Balance out</t>
  </si>
  <si>
    <t xml:space="preserve">Q = Cuautitlan </t>
  </si>
  <si>
    <t xml:space="preserve">   C = Canada</t>
  </si>
  <si>
    <t>Dearborn</t>
  </si>
  <si>
    <t>Chicago</t>
  </si>
  <si>
    <t>Hermosillo</t>
  </si>
  <si>
    <t>Kansas City</t>
  </si>
  <si>
    <t>Oakville</t>
  </si>
  <si>
    <t xml:space="preserve">&gt; </t>
  </si>
  <si>
    <t>2.  Open desired file</t>
  </si>
  <si>
    <t>3.  Save file as new  program release number (eg. 643-1,  643-2, etc.)</t>
  </si>
  <si>
    <t>4.  Go to "Tools", then  "Macro"</t>
  </si>
  <si>
    <t>5.  Click on "ToplanRollWeeks"….buttons on right will become active.</t>
  </si>
  <si>
    <t>6.  Click on "Run"</t>
  </si>
  <si>
    <t>Macro rolls weeks for all plants.</t>
  </si>
  <si>
    <t>Check the calendar for holidays … note when appropriate</t>
  </si>
  <si>
    <t>7.  Revisions:</t>
  </si>
  <si>
    <t>Delete all boxes for previous week's changes.</t>
  </si>
  <si>
    <t>Delete any color from previous week's updates.</t>
  </si>
  <si>
    <t>Delete footnotes that applied to the week that dropped off</t>
  </si>
  <si>
    <t>8.  Review plant mixes/material protection summaries … be sure beginning months are appropriate</t>
  </si>
  <si>
    <t xml:space="preserve"> = Down week</t>
  </si>
  <si>
    <t>Flat Rock</t>
  </si>
  <si>
    <t>Material Protection - Veh. (000)</t>
  </si>
  <si>
    <t>Nov</t>
  </si>
  <si>
    <t>Super Crew</t>
  </si>
  <si>
    <t>Focus</t>
  </si>
  <si>
    <t>Supercrew</t>
  </si>
  <si>
    <t>FOOT NOTES:</t>
  </si>
  <si>
    <t>Dearborn Truck</t>
  </si>
  <si>
    <t>1.  Go to W drive…"Reports"</t>
  </si>
  <si>
    <t xml:space="preserve">   M = Mexico (all)</t>
  </si>
  <si>
    <t>Regular/Super Cab</t>
  </si>
  <si>
    <t>THIS DOCUMENT FOR REFERENCE ONLY.  ALL PRODUCTION PLANNING SHOULD BE BASED UPON MATERIAL RELEASE REQUIREMENTS.</t>
  </si>
  <si>
    <t>Fusion</t>
  </si>
  <si>
    <t xml:space="preserve">  Plant Mixes    </t>
  </si>
  <si>
    <t>Volumes Committed to Sales and Dealers</t>
  </si>
  <si>
    <t>Ohio</t>
  </si>
  <si>
    <t>Edge</t>
  </si>
  <si>
    <t>MKX</t>
  </si>
  <si>
    <t>Allocation Week</t>
  </si>
  <si>
    <t>MKZ</t>
  </si>
  <si>
    <t>Taurus</t>
  </si>
  <si>
    <t>Flex</t>
  </si>
  <si>
    <t>Plant Operating Patterns:</t>
  </si>
  <si>
    <t>4x10 - plant works four days a week, ten hours a day.</t>
  </si>
  <si>
    <t>Superduty</t>
  </si>
  <si>
    <t>Kentucky Truck</t>
  </si>
  <si>
    <t>Exp / Nav / Superduty - Kentucky</t>
  </si>
  <si>
    <t>MKT</t>
  </si>
  <si>
    <r>
      <t xml:space="preserve">Balance Out Volumes Locked In for </t>
    </r>
    <r>
      <rPr>
        <b/>
        <sz val="9"/>
        <rFont val="Arial"/>
        <family val="2"/>
      </rPr>
      <t>SHADED</t>
    </r>
    <r>
      <rPr>
        <sz val="7"/>
        <rFont val="Arial"/>
        <family val="2"/>
      </rPr>
      <t xml:space="preserve"> Production Weeks</t>
    </r>
  </si>
  <si>
    <t>Exp/Nav</t>
  </si>
  <si>
    <t>Car</t>
  </si>
  <si>
    <t>Total Car</t>
  </si>
  <si>
    <t>F150</t>
  </si>
  <si>
    <t>U</t>
  </si>
  <si>
    <t>Edge / MKX / Flex /MKT- Oakville</t>
  </si>
  <si>
    <t>B) Job #2 Launch</t>
  </si>
  <si>
    <t>Fiesta - Cuautitlan</t>
  </si>
  <si>
    <t>Cuautitlan</t>
  </si>
  <si>
    <t>Fiesta</t>
  </si>
  <si>
    <t>A)  JPH increase</t>
  </si>
  <si>
    <t>Truck/SUV</t>
  </si>
  <si>
    <t>Edge/MKX/Flex/MKT</t>
  </si>
  <si>
    <t>Total Truck/SUV</t>
  </si>
  <si>
    <t>Motorhome</t>
  </si>
  <si>
    <t>Michigan</t>
  </si>
  <si>
    <t>60.5</t>
  </si>
  <si>
    <t>Apr</t>
  </si>
  <si>
    <t>May</t>
  </si>
  <si>
    <t xml:space="preserve">F) </t>
  </si>
  <si>
    <t>Aug</t>
  </si>
  <si>
    <t>G)</t>
  </si>
  <si>
    <t>H)</t>
  </si>
  <si>
    <t>Memo:</t>
  </si>
  <si>
    <t>Jan</t>
  </si>
  <si>
    <t>Feb</t>
  </si>
  <si>
    <t>Mar</t>
  </si>
  <si>
    <t>Jun</t>
  </si>
  <si>
    <t>Jul</t>
  </si>
  <si>
    <t>Sep</t>
  </si>
  <si>
    <t>Oct</t>
  </si>
  <si>
    <t>Dec</t>
  </si>
  <si>
    <t xml:space="preserve"> Chicago</t>
  </si>
  <si>
    <t xml:space="preserve"> Cuautitlan</t>
  </si>
  <si>
    <t xml:space="preserve"> Dearborn</t>
  </si>
  <si>
    <t xml:space="preserve"> Det. Chas.</t>
  </si>
  <si>
    <t xml:space="preserve"> Hermosillo</t>
  </si>
  <si>
    <t xml:space="preserve"> Kansas City - Trk</t>
  </si>
  <si>
    <t xml:space="preserve"> Ky. Truck</t>
  </si>
  <si>
    <t xml:space="preserve"> Louisville</t>
  </si>
  <si>
    <t xml:space="preserve"> Oakville</t>
  </si>
  <si>
    <t xml:space="preserve"> Ohio </t>
  </si>
  <si>
    <t xml:space="preserve"> St. Thomas</t>
  </si>
  <si>
    <t>MAP</t>
  </si>
  <si>
    <t xml:space="preserve">Total Downweeks  </t>
  </si>
  <si>
    <t>65.2</t>
  </si>
  <si>
    <t>HOL</t>
  </si>
  <si>
    <t>Escape</t>
  </si>
  <si>
    <t>Louisville</t>
  </si>
  <si>
    <t xml:space="preserve"> = Holiday</t>
  </si>
  <si>
    <t>I)</t>
  </si>
  <si>
    <t>2-shift Launch</t>
  </si>
  <si>
    <t>J)</t>
  </si>
  <si>
    <t>3-crew Launch</t>
  </si>
  <si>
    <t>K)  5x8 operarting pattern launch</t>
  </si>
  <si>
    <t>L) JPH Decrease</t>
  </si>
  <si>
    <t>C-Max</t>
  </si>
  <si>
    <t>Focus/C-Max</t>
  </si>
  <si>
    <t>Transit</t>
  </si>
  <si>
    <t>63.0</t>
  </si>
  <si>
    <t>Explorer</t>
  </si>
  <si>
    <t xml:space="preserve">       Matl. Prot.                    (3C)</t>
  </si>
  <si>
    <t>F150 - Dearborn                 (3C)</t>
  </si>
  <si>
    <t xml:space="preserve"> = Launch</t>
  </si>
  <si>
    <t xml:space="preserve"> = Acceleration</t>
  </si>
  <si>
    <t>5x8 - plant works five days a week, eight hours a day.</t>
  </si>
  <si>
    <t>2S - plant operates with two shifts.</t>
  </si>
  <si>
    <t xml:space="preserve">          Matl. Prot.        2S  (5x8)</t>
  </si>
  <si>
    <t>VAC</t>
  </si>
  <si>
    <t>3-Crew Plants</t>
  </si>
  <si>
    <t>Sat</t>
  </si>
  <si>
    <t>Sun</t>
  </si>
  <si>
    <t>X</t>
  </si>
  <si>
    <t xml:space="preserve"> = Vacation</t>
  </si>
  <si>
    <t xml:space="preserve">          Matl. Prot.                (3S)</t>
  </si>
  <si>
    <t>3-Crew OT Shift Schedule</t>
  </si>
  <si>
    <t>38.0</t>
  </si>
  <si>
    <t>Customer Orders Scheduled</t>
  </si>
  <si>
    <t>for Production</t>
  </si>
  <si>
    <t>Fusion / MKZ - Hermosillo</t>
  </si>
  <si>
    <t xml:space="preserve">          Matl. Prot.                (2S)</t>
  </si>
  <si>
    <t>66.0</t>
  </si>
  <si>
    <t xml:space="preserve">          Matl. Prot.       </t>
  </si>
  <si>
    <t>F150 - Kansas City             (3C)</t>
  </si>
  <si>
    <t>10.2</t>
  </si>
  <si>
    <t xml:space="preserve"> Kansas City - Transit</t>
  </si>
  <si>
    <t>2014 CY</t>
  </si>
  <si>
    <t>Oct-Dec</t>
  </si>
  <si>
    <t>Total 14 CY</t>
  </si>
  <si>
    <t>MKC</t>
  </si>
  <si>
    <t>Mfg/Fac</t>
  </si>
  <si>
    <t>Sales D/W</t>
  </si>
  <si>
    <t>Vac</t>
  </si>
  <si>
    <t>*Excludes Christmas shutdown</t>
  </si>
  <si>
    <t>C)  1-Shift Launch</t>
  </si>
  <si>
    <t>3C - plant operates with three crews.</t>
  </si>
  <si>
    <t>3S - plant operates with three shifts.</t>
  </si>
  <si>
    <t>1S - plant operates with one shift.</t>
  </si>
  <si>
    <t>50.0</t>
  </si>
  <si>
    <t>O) Facility Changeover Acceleration Curve</t>
  </si>
  <si>
    <t>FRAP</t>
  </si>
  <si>
    <t xml:space="preserve"> = Unique operating pattern</t>
  </si>
  <si>
    <t>Transit - Kansas City (2S)</t>
  </si>
  <si>
    <t>2015 CY</t>
  </si>
  <si>
    <t>DOM</t>
  </si>
  <si>
    <t>PLANT</t>
  </si>
  <si>
    <t>VEHICLE</t>
  </si>
  <si>
    <t>Comments</t>
  </si>
  <si>
    <t>Non-Crew</t>
  </si>
  <si>
    <t>Crew</t>
  </si>
  <si>
    <t>Super Duty</t>
  </si>
  <si>
    <t>CUM
Rollover
Volume</t>
  </si>
  <si>
    <t>Dearborn
Truck</t>
  </si>
  <si>
    <t>Kentucky
Truck</t>
  </si>
  <si>
    <t>CUM
Rollover Hours</t>
  </si>
  <si>
    <t>Vehicle Schedule @ MPW</t>
  </si>
  <si>
    <t xml:space="preserve">Shaded cells indicate weekly op plan schedules that exceed the 1-all VO-supply MPW capacity. </t>
  </si>
  <si>
    <r>
      <rPr>
        <b/>
        <u/>
        <sz val="8"/>
        <color theme="1"/>
        <rFont val="Arial"/>
        <family val="2"/>
      </rPr>
      <t>CUM Rollover (CRO) Function</t>
    </r>
    <r>
      <rPr>
        <sz val="8"/>
        <color theme="1"/>
        <rFont val="Arial"/>
        <family val="2"/>
      </rPr>
      <t xml:space="preserve">: The CRO Threshold determines how many units will hold in the next day's Schedule and Material Release due to a production loss at the plant.  (NOTE:  this applies to losses reported via DPR only.  Losses reported via a Production Reduction/Shutdown Notice are processed differently).
Special consideration of plant bull-pen capabilities should be included whn setting the CRO threshold to minimize risk of stocking material at outside holding areas.  
Each Op Plan analyst develops the CRO Threshold with input from the assembly plant.  The CRO Threshold should reflect the plant's near-term makeup capability, based on current events within their schedule (IE:  launch, balance out, open assembly/supply capacity).  If managed correctly, the CRO Threshold minimizes the day-to-day manipulation of the Op Plan schedule.  
The CRO Threshold tool supports material release stability and reduced inventory levels.     </t>
    </r>
  </si>
  <si>
    <r>
      <rPr>
        <b/>
        <u/>
        <sz val="7"/>
        <rFont val="Arial"/>
        <family val="2"/>
      </rPr>
      <t xml:space="preserve">Vehicle Schedule @ MPW: </t>
    </r>
    <r>
      <rPr>
        <sz val="7"/>
        <rFont val="Arial"/>
        <family val="2"/>
      </rPr>
      <t xml:space="preserve"> identifies weekly op plan schedules at the 1-all VO-supply MPW capacity for the specified vehicle line.  When condition is present, the vehicle line name will apear in the target production week.  
    </t>
    </r>
  </si>
  <si>
    <t>Med. Duty</t>
  </si>
  <si>
    <t>Louisville - Escape / MKC</t>
  </si>
  <si>
    <t>May down week partial</t>
  </si>
  <si>
    <t>*Does not include material protected down weeks</t>
  </si>
  <si>
    <t xml:space="preserve">        Matl. Prot.                   (2S)</t>
  </si>
  <si>
    <t>Med. Truck</t>
  </si>
  <si>
    <t>2016 CY</t>
  </si>
  <si>
    <t>Total 16 CY</t>
  </si>
  <si>
    <t>Total 15 CY</t>
  </si>
  <si>
    <t>2017 MY Launch</t>
  </si>
  <si>
    <t>1*</t>
  </si>
  <si>
    <t>*Constraint</t>
  </si>
  <si>
    <t>66.3</t>
  </si>
  <si>
    <t>M-F</t>
  </si>
  <si>
    <t>Sa/Su</t>
  </si>
  <si>
    <t>E-Series</t>
  </si>
  <si>
    <t>80.75</t>
  </si>
  <si>
    <t>CUM Rollover Threshold</t>
  </si>
  <si>
    <t>UC</t>
  </si>
  <si>
    <t>Focus / C-Max - Michigan       (4x10)</t>
  </si>
  <si>
    <t>Continental</t>
  </si>
  <si>
    <t>Jowiski</t>
  </si>
  <si>
    <t>Mustang/Conti - Flat Rock</t>
  </si>
  <si>
    <t>OHAP - E-Series/MD/SD</t>
  </si>
  <si>
    <t>Mustang/Conti</t>
  </si>
  <si>
    <t xml:space="preserve">          Matl. Prot.              (3C)</t>
  </si>
  <si>
    <t xml:space="preserve">          Matl. Prot.        1S  (5x8)</t>
  </si>
  <si>
    <t>Motorhome - Det. Chassis Plant</t>
  </si>
  <si>
    <t xml:space="preserve">          Matl. Prot.        1S  (4x10)</t>
  </si>
  <si>
    <t>E-Series / Med Duty / Super Duty - Ohio</t>
  </si>
  <si>
    <t>Taurus/Exp.</t>
  </si>
  <si>
    <t>D) 2017MY Job#1 B/O</t>
  </si>
  <si>
    <t>Taurus/Explorer - Chicago</t>
  </si>
  <si>
    <t>35.0</t>
  </si>
  <si>
    <t xml:space="preserve">        Matl. Prot.                   (1S)    </t>
  </si>
  <si>
    <t>Kentucky</t>
  </si>
  <si>
    <t>Escape / MKC - Louisville</t>
  </si>
  <si>
    <t>71.74</t>
  </si>
  <si>
    <t>1**</t>
  </si>
  <si>
    <t>2**</t>
  </si>
  <si>
    <t>4**</t>
  </si>
  <si>
    <t>1/8**</t>
  </si>
  <si>
    <t>M</t>
  </si>
  <si>
    <t>59.3</t>
  </si>
  <si>
    <t>Young</t>
  </si>
  <si>
    <t>`</t>
  </si>
  <si>
    <t>** Kansas City Trk &amp; Hermosillo - indicates downcrew weeks</t>
  </si>
  <si>
    <t>1.5**</t>
  </si>
  <si>
    <t>5/4**</t>
  </si>
  <si>
    <t>1***</t>
  </si>
  <si>
    <t>Super shifts not available pending approval of the E-Coat Cleaning Project*</t>
  </si>
  <si>
    <r>
      <rPr>
        <b/>
        <u/>
        <sz val="8"/>
        <color indexed="8"/>
        <rFont val="Calibri"/>
        <family val="2"/>
      </rPr>
      <t>NOTE</t>
    </r>
    <r>
      <rPr>
        <sz val="8"/>
        <color indexed="8"/>
        <rFont val="Calibri"/>
        <family val="2"/>
      </rPr>
      <t>:  3-Crew OT pattern is typically reflected by a 30-hour weekend schedule in the POPS report.  Saturday OT shifts are worked by the B-crew (afternoon shift) and Sunday OT shifts are worked by A-Crew (day shift).  C-crew's normal 40-hr work week includes a 10-hr shift on Saturday and Sunday.
* Two month lead time after approved PO.  Project requires downtime to complete.  Alternative would require $50K funding per Super for accelerated E-Coat clean-out. (per GRL)</t>
    </r>
  </si>
  <si>
    <t>C</t>
  </si>
  <si>
    <t>2017 CY</t>
  </si>
  <si>
    <t>Total 17 CY</t>
  </si>
  <si>
    <t>E)  2018 MY Launch</t>
  </si>
  <si>
    <t>M)</t>
  </si>
  <si>
    <t>E)</t>
  </si>
  <si>
    <t>Bobnar</t>
  </si>
  <si>
    <t>Detroit</t>
  </si>
  <si>
    <t>x</t>
  </si>
  <si>
    <t>1.8**</t>
  </si>
  <si>
    <t>0.2**</t>
  </si>
  <si>
    <t>1+1**</t>
  </si>
  <si>
    <t>A)</t>
  </si>
  <si>
    <t>08/14</t>
  </si>
  <si>
    <t>08/21</t>
  </si>
  <si>
    <t>August</t>
  </si>
  <si>
    <t>08/28</t>
  </si>
  <si>
    <t>09/04</t>
  </si>
  <si>
    <t>MKC/Esc</t>
  </si>
  <si>
    <t>09/11</t>
  </si>
  <si>
    <t>E) Continental</t>
  </si>
  <si>
    <t>M) Continental</t>
  </si>
  <si>
    <t>M) Mustang</t>
  </si>
  <si>
    <t>Kansas City*</t>
  </si>
  <si>
    <t>09/18</t>
  </si>
  <si>
    <t>Araiza</t>
  </si>
  <si>
    <t>09/25</t>
  </si>
  <si>
    <t>September</t>
  </si>
  <si>
    <t>M) Econ/MT</t>
  </si>
  <si>
    <t>E) Exp/Nav</t>
  </si>
  <si>
    <t>10/02</t>
  </si>
  <si>
    <t>M) Foc/C-Max</t>
  </si>
  <si>
    <t>E) Econ/MT</t>
  </si>
  <si>
    <t>10/09</t>
  </si>
  <si>
    <t>17MY B/O</t>
  </si>
  <si>
    <t>E) Foc/C-Max</t>
  </si>
  <si>
    <t>10/16</t>
  </si>
  <si>
    <t>October</t>
  </si>
  <si>
    <t>E) Exp / Taurus</t>
  </si>
  <si>
    <t>D) Exp / Taurus</t>
  </si>
  <si>
    <t>10/23</t>
  </si>
  <si>
    <t>F-Series U/8500</t>
  </si>
  <si>
    <t>DCP</t>
  </si>
  <si>
    <t>MOTORHOME</t>
  </si>
  <si>
    <t>Taurus / MKS/ Explorer</t>
  </si>
  <si>
    <t>Focus / C-Max</t>
  </si>
  <si>
    <t>Mustang / Conti</t>
  </si>
  <si>
    <t>Econoline / Med Duty / Super Duty</t>
  </si>
  <si>
    <t>Escape / MKC</t>
  </si>
  <si>
    <t>Exp/Nav/Superduty</t>
  </si>
  <si>
    <t>Fusion / MKZ</t>
  </si>
  <si>
    <t>Recap of North American Operating Plan Changes</t>
  </si>
  <si>
    <t>10/30</t>
  </si>
  <si>
    <t>Expl.</t>
  </si>
  <si>
    <t>I)   E) Mustang</t>
  </si>
  <si>
    <t>N) 4x10 operating pattern launch</t>
  </si>
  <si>
    <t>11/06</t>
  </si>
  <si>
    <t>2018 MY Job#1 B/O</t>
  </si>
  <si>
    <t>**Hermosillo - down days scheduled totaling to 4.4 weeks in 1 and 2Q; totaling to 7.5 weeks in 3 and 4Q.</t>
  </si>
  <si>
    <t>11/13</t>
  </si>
  <si>
    <t>M) 2017 MY B/O</t>
  </si>
  <si>
    <t>M) S/Duty</t>
  </si>
  <si>
    <t xml:space="preserve">          Matl. Prot.    (5x8) (4x10 starts 8/28)         </t>
  </si>
  <si>
    <t>11/20</t>
  </si>
  <si>
    <t>U M</t>
  </si>
  <si>
    <t>E) S/Duty</t>
  </si>
  <si>
    <t>36.0</t>
  </si>
  <si>
    <t xml:space="preserve">          Matl. Prot    (4x10)</t>
  </si>
  <si>
    <t>11/27</t>
  </si>
  <si>
    <t>November</t>
  </si>
  <si>
    <t>DW</t>
  </si>
  <si>
    <t>12/04</t>
  </si>
  <si>
    <t>B) Mustang</t>
  </si>
  <si>
    <t>M) E) Esc/MKC</t>
  </si>
  <si>
    <t>12/11</t>
  </si>
  <si>
    <t xml:space="preserve"> 79 / 1</t>
  </si>
  <si>
    <t>12/18</t>
  </si>
  <si>
    <t>u</t>
  </si>
  <si>
    <t>M) E) Edge/MKX</t>
  </si>
  <si>
    <t>12/25</t>
  </si>
  <si>
    <t>U M C</t>
  </si>
  <si>
    <t>M / E) MKZ</t>
  </si>
  <si>
    <t>Esc</t>
  </si>
  <si>
    <t>01/01</t>
  </si>
  <si>
    <t>FAC</t>
  </si>
  <si>
    <t>December</t>
  </si>
  <si>
    <t>Job #3 Launch</t>
  </si>
  <si>
    <t>F) SD</t>
  </si>
  <si>
    <t>G/ B) Fusion</t>
  </si>
  <si>
    <t>01/08</t>
  </si>
  <si>
    <t>Exp.</t>
  </si>
  <si>
    <t>D)</t>
  </si>
  <si>
    <t>01/15</t>
  </si>
  <si>
    <t>31/72</t>
  </si>
  <si>
    <t>01/22</t>
  </si>
  <si>
    <t>(EWA Months)</t>
  </si>
  <si>
    <t>01/29</t>
  </si>
  <si>
    <t xml:space="preserve"> Program  # 847-4  Plant Operating Plan Weekly Summary </t>
  </si>
  <si>
    <t>January</t>
  </si>
  <si>
    <t>Variance w/o 9/25 (-80hrs) - added sales DW</t>
  </si>
  <si>
    <t>Variance w/o 9/18 (-10hrs) due to removing a super shift</t>
  </si>
  <si>
    <t>Variance w/o 9/11 (+10hrs) due to adding a super shift</t>
  </si>
  <si>
    <t>Variance the weeks of 1/1 (+35 hrs), 1/8 (+22 hrs), 1/15 (-30 hrs), 1/22 (+29 hrs) due to resetting 18CY back to 3 shift plan</t>
  </si>
  <si>
    <t>Recalendarized the CIWG meetings from the weeks of 11/6 and 12/4 to the weeks of 10/30 and 11/27.</t>
  </si>
  <si>
    <t>16 / 84</t>
  </si>
  <si>
    <t>Variance in current week due to removing 61 units from 8/11.</t>
  </si>
  <si>
    <t>Spread the 61 units from 8/11 into the days of 8/14, 8/21, 8/22 and 8/23, per plant request.</t>
  </si>
  <si>
    <t>Loss recovery of 464 units on 8/10 -- +10 units per day from 8/14 through 10/5. (Overspeed)  Exceptions of 11 units per day on 8/15, 8/29, 9/6 and 9/19.  10/3, +60 units (1 hr), 11/6 +50 units (.83 hr), 11/14 +60 units (1hr),12/5 +60 units (1hr), 2018 MY MP2 slides 210 units on 10/9.</t>
  </si>
  <si>
    <t>Variance the week of 10/30 (+8 hrs) &amp; 11/6 (+7 hrs) due to production loss make-up</t>
  </si>
  <si>
    <t>43 / 37</t>
  </si>
  <si>
    <t xml:space="preserve">Variance the weeks of 8/21-12/18 (-1 hrs/wk) (-20hrs total) </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</si>
</sst>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
    <numFmt numFmtId="165" formatCode="0.0"/>
    <numFmt numFmtId="166" formatCode="\(0.0\)"/>
    <numFmt numFmtId="167" formatCode="mmm\-yyyy"/>
    <numFmt numFmtId="168" formatCode="0.0000"/>
    <numFmt numFmtId="169" formatCode="0.000%"/>
    <numFmt numFmtId="170" formatCode="0.000000"/>
    <numFmt numFmtId="171" formatCode="dd\-mmm\-yy_)"/>
    <numFmt numFmtId="172" formatCode="General_)"/>
    <numFmt numFmtId="173" formatCode="_-* #,##0\ &quot;F&quot;_-;\-* #,##0\ &quot;F&quot;_-;_-* &quot;-&quot;\ &quot;F&quot;_-;_-@_-"/>
    <numFmt numFmtId="174" formatCode="#,##0.00&quot; $&quot;;[Red]\-#,##0.00&quot; $&quot;"/>
    <numFmt numFmtId="175" formatCode="d\.m\.yy"/>
    <numFmt numFmtId="176" formatCode="d\.mmm\.yy"/>
    <numFmt numFmtId="177" formatCode="mmm\.yy"/>
    <numFmt numFmtId="178" formatCode="0.000&quot;  &quot;"/>
    <numFmt numFmtId="179" formatCode="ddd"/>
    <numFmt numFmtId="180" formatCode="mm/dd"/>
    <numFmt numFmtId="181" formatCode="&quot;(&quot;0.0&quot;)&quot;"/>
    <numFmt numFmtId="182" formatCode="m/d;@"/>
    <numFmt numFmtId="183" formatCode="\(0.00\)"/>
    <numFmt numFmtId="184" formatCode="m\-d\-yy"/>
  </numFmts>
  <fonts count="76">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name val="Arial"/>
      <family val="2"/>
    </font>
    <font>
      <sz val="10"/>
      <name val="Arial"/>
      <family val="2"/>
    </font>
    <font>
      <sz val="10"/>
      <name val="Arial"/>
      <family val="2"/>
    </font>
    <font>
      <sz val="10"/>
      <name val="MS Sans Serif"/>
      <family val="2"/>
    </font>
    <font>
      <sz val="8"/>
      <name val="Arial"/>
      <family val="2"/>
    </font>
    <font>
      <sz val="8.5"/>
      <name val="LinePrinter"/>
    </font>
    <font>
      <sz val="8"/>
      <name val="Times New Roman"/>
      <family val="1"/>
    </font>
    <font>
      <sz val="11"/>
      <name val="‚l‚r –¾’©"/>
      <charset val="128"/>
    </font>
    <font>
      <sz val="8"/>
      <name val="Arial"/>
      <family val="2"/>
    </font>
    <font>
      <b/>
      <sz val="12"/>
      <name val="Arial"/>
      <family val="2"/>
    </font>
    <font>
      <sz val="10"/>
      <name val="Courier"/>
      <family val="3"/>
    </font>
    <font>
      <b/>
      <sz val="10"/>
      <name val="Arial"/>
      <family val="2"/>
    </font>
    <font>
      <sz val="10"/>
      <color indexed="10"/>
      <name val="Arial"/>
      <family val="2"/>
    </font>
    <font>
      <b/>
      <u/>
      <sz val="10"/>
      <name val="Arial"/>
      <family val="2"/>
    </font>
    <font>
      <sz val="7.9"/>
      <name val="Arial"/>
      <family val="2"/>
    </font>
    <font>
      <b/>
      <sz val="8"/>
      <name val="Arial"/>
      <family val="2"/>
    </font>
    <font>
      <sz val="7"/>
      <name val="Arial"/>
      <family val="2"/>
    </font>
    <font>
      <sz val="6"/>
      <name val="Arial"/>
      <family val="2"/>
    </font>
    <font>
      <u/>
      <sz val="10"/>
      <name val="Arial"/>
      <family val="2"/>
    </font>
    <font>
      <u/>
      <sz val="6"/>
      <name val="Arial"/>
      <family val="2"/>
    </font>
    <font>
      <sz val="12"/>
      <name val="Arial"/>
      <family val="2"/>
    </font>
    <font>
      <sz val="8"/>
      <name val="Times New Roman"/>
      <family val="1"/>
    </font>
    <font>
      <sz val="10"/>
      <name val="Arial"/>
      <family val="2"/>
    </font>
    <font>
      <sz val="5.5"/>
      <name val="Arial"/>
      <family val="2"/>
    </font>
    <font>
      <b/>
      <u/>
      <sz val="6.5"/>
      <name val="Arial"/>
      <family val="2"/>
    </font>
    <font>
      <sz val="6.5"/>
      <name val="Arial"/>
      <family val="2"/>
    </font>
    <font>
      <b/>
      <sz val="9"/>
      <name val="Arial"/>
      <family val="2"/>
    </font>
    <font>
      <b/>
      <u/>
      <sz val="9"/>
      <name val="Arial"/>
      <family val="2"/>
    </font>
    <font>
      <b/>
      <u/>
      <sz val="11"/>
      <name val="Arial"/>
      <family val="2"/>
    </font>
    <font>
      <b/>
      <sz val="6"/>
      <name val="Arial"/>
      <family val="2"/>
    </font>
    <font>
      <b/>
      <sz val="11"/>
      <name val="Arial"/>
      <family val="2"/>
    </font>
    <font>
      <b/>
      <u/>
      <sz val="8"/>
      <name val="Arial"/>
      <family val="2"/>
    </font>
    <font>
      <b/>
      <u/>
      <sz val="7"/>
      <name val="Arial"/>
      <family val="2"/>
    </font>
    <font>
      <sz val="8.5"/>
      <name val="Arial"/>
      <family val="2"/>
    </font>
    <font>
      <sz val="8"/>
      <color indexed="10"/>
      <name val="Arial"/>
      <family val="2"/>
    </font>
    <font>
      <b/>
      <i/>
      <sz val="8"/>
      <name val="Arial"/>
      <family val="2"/>
    </font>
    <font>
      <sz val="7"/>
      <color indexed="10"/>
      <name val="Arial"/>
      <family val="2"/>
    </font>
    <font>
      <sz val="7"/>
      <color indexed="8"/>
      <name val="Arial"/>
      <family val="2"/>
    </font>
    <font>
      <sz val="8"/>
      <color indexed="8"/>
      <name val="Arial"/>
      <family val="2"/>
    </font>
    <font>
      <sz val="9"/>
      <name val="Arial"/>
      <family val="2"/>
    </font>
    <font>
      <sz val="9"/>
      <color indexed="10"/>
      <name val="Arial"/>
      <family val="2"/>
    </font>
    <font>
      <b/>
      <sz val="9"/>
      <color indexed="10"/>
      <name val="Arial"/>
      <family val="2"/>
    </font>
    <font>
      <sz val="9"/>
      <color indexed="12"/>
      <name val="Arial"/>
      <family val="2"/>
    </font>
    <font>
      <b/>
      <sz val="10"/>
      <color indexed="10"/>
      <name val="Arial"/>
      <family val="2"/>
    </font>
    <font>
      <sz val="6"/>
      <color indexed="10"/>
      <name val="Arial"/>
      <family val="2"/>
    </font>
    <font>
      <sz val="7"/>
      <color indexed="10"/>
      <name val="Arial"/>
      <family val="2"/>
    </font>
    <font>
      <b/>
      <u/>
      <sz val="8"/>
      <color indexed="8"/>
      <name val="Calibri"/>
      <family val="2"/>
    </font>
    <font>
      <sz val="8"/>
      <color indexed="8"/>
      <name val="Calibri"/>
      <family val="2"/>
    </font>
    <font>
      <sz val="7"/>
      <color rgb="FFFF0000"/>
      <name val="Arial"/>
      <family val="2"/>
    </font>
    <font>
      <b/>
      <sz val="8"/>
      <color theme="1"/>
      <name val="Calibri"/>
      <family val="2"/>
      <scheme val="minor"/>
    </font>
    <font>
      <sz val="8"/>
      <color theme="1"/>
      <name val="Calibri"/>
      <family val="2"/>
      <scheme val="minor"/>
    </font>
    <font>
      <sz val="9"/>
      <color theme="4"/>
      <name val="Arial"/>
      <family val="2"/>
    </font>
    <font>
      <b/>
      <u/>
      <sz val="9"/>
      <color theme="1"/>
      <name val="Calibri"/>
      <family val="2"/>
      <scheme val="minor"/>
    </font>
    <font>
      <b/>
      <u/>
      <sz val="8"/>
      <color theme="1"/>
      <name val="Calibri"/>
      <family val="2"/>
      <scheme val="minor"/>
    </font>
    <font>
      <sz val="8"/>
      <color theme="1"/>
      <name val="Arial"/>
      <family val="2"/>
    </font>
    <font>
      <b/>
      <u/>
      <sz val="16"/>
      <color theme="1"/>
      <name val="Arial"/>
      <family val="2"/>
    </font>
    <font>
      <b/>
      <u/>
      <sz val="12"/>
      <color theme="1"/>
      <name val="Arial"/>
      <family val="2"/>
    </font>
    <font>
      <b/>
      <u/>
      <sz val="8"/>
      <color theme="1"/>
      <name val="Arial"/>
      <family val="2"/>
    </font>
    <font>
      <b/>
      <u/>
      <sz val="6"/>
      <color theme="1"/>
      <name val="Arial"/>
      <family val="2"/>
    </font>
    <font>
      <sz val="6"/>
      <color theme="1"/>
      <name val="Arial"/>
      <family val="2"/>
    </font>
    <font>
      <b/>
      <i/>
      <sz val="7.9"/>
      <name val="Arial"/>
      <family val="2"/>
    </font>
    <font>
      <b/>
      <i/>
      <sz val="8"/>
      <color indexed="8"/>
      <name val="Arial"/>
      <family val="2"/>
    </font>
    <font>
      <b/>
      <sz val="10"/>
      <color rgb="FFFF0000"/>
      <name val="Arial"/>
      <family val="2"/>
    </font>
    <font>
      <b/>
      <sz val="7"/>
      <color indexed="8"/>
      <name val="Arial"/>
      <family val="2"/>
    </font>
    <font>
      <sz val="10"/>
      <color rgb="FFFF0000"/>
      <name val="Arial"/>
      <family val="2"/>
    </font>
    <font>
      <b/>
      <sz val="8"/>
      <color indexed="8"/>
      <name val="Arial"/>
      <family val="2"/>
    </font>
    <font>
      <sz val="8"/>
      <name val="Calibri"/>
      <family val="2"/>
      <scheme val="minor"/>
    </font>
    <font>
      <sz val="8"/>
      <color rgb="FFFF0000"/>
      <name val="Calibri"/>
      <family val="2"/>
      <scheme val="minor"/>
    </font>
  </fonts>
  <fills count="1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7"/>
        <bgColor indexed="64"/>
      </patternFill>
    </fill>
    <fill>
      <patternFill patternType="solid">
        <fgColor theme="0"/>
        <bgColor indexed="64"/>
      </patternFill>
    </fill>
    <fill>
      <patternFill patternType="solid">
        <fgColor theme="0" tint="-0.14999847407452621"/>
        <bgColor indexed="64"/>
      </patternFill>
    </fill>
    <fill>
      <patternFill patternType="gray0625"/>
    </fill>
    <fill>
      <patternFill patternType="solid">
        <fgColor indexed="65"/>
        <bgColor indexed="64"/>
      </patternFill>
    </fill>
    <fill>
      <patternFill patternType="solid">
        <fgColor theme="0" tint="-0.34998626667073579"/>
        <bgColor indexed="64"/>
      </patternFill>
    </fill>
    <fill>
      <patternFill patternType="solid">
        <fgColor indexed="13"/>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249977111117893"/>
        <bgColor auto="1"/>
      </patternFill>
    </fill>
    <fill>
      <patternFill patternType="gray0625">
        <fgColor auto="1"/>
      </patternFill>
    </fill>
    <fill>
      <patternFill patternType="gray0625">
        <fgColor auto="1"/>
        <bgColor theme="0"/>
      </patternFill>
    </fill>
  </fills>
  <borders count="11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hair">
        <color indexed="64"/>
      </bottom>
      <diagonal/>
    </border>
    <border>
      <left/>
      <right style="thin">
        <color indexed="64"/>
      </right>
      <top/>
      <bottom/>
      <diagonal/>
    </border>
    <border>
      <left/>
      <right/>
      <top style="hair">
        <color indexed="64"/>
      </top>
      <bottom/>
      <diagonal/>
    </border>
    <border>
      <left/>
      <right/>
      <top/>
      <bottom style="thin">
        <color indexed="64"/>
      </bottom>
      <diagonal/>
    </border>
    <border>
      <left style="thin">
        <color indexed="64"/>
      </left>
      <right/>
      <top/>
      <bottom style="hair">
        <color indexed="64"/>
      </bottom>
      <diagonal/>
    </border>
    <border>
      <left style="thin">
        <color indexed="64"/>
      </left>
      <right/>
      <top/>
      <bottom style="thin">
        <color indexed="64"/>
      </bottom>
      <diagonal/>
    </border>
    <border>
      <left style="thin">
        <color indexed="64"/>
      </left>
      <right/>
      <top style="hair">
        <color indexed="64"/>
      </top>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style="hair">
        <color indexed="64"/>
      </bottom>
      <diagonal/>
    </border>
    <border>
      <left style="thin">
        <color indexed="64"/>
      </left>
      <right/>
      <top style="thin">
        <color indexed="64"/>
      </top>
      <bottom style="thin">
        <color indexed="64"/>
      </bottom>
      <diagonal/>
    </border>
    <border>
      <left/>
      <right/>
      <top/>
      <bottom style="medium">
        <color indexed="64"/>
      </bottom>
      <diagonal/>
    </border>
    <border>
      <left/>
      <right style="thin">
        <color indexed="64"/>
      </right>
      <top/>
      <bottom style="thin">
        <color indexed="64"/>
      </bottom>
      <diagonal/>
    </border>
    <border>
      <left/>
      <right style="medium">
        <color indexed="64"/>
      </right>
      <top/>
      <bottom/>
      <diagonal/>
    </border>
    <border>
      <left style="thin">
        <color indexed="64"/>
      </left>
      <right style="thin">
        <color indexed="64"/>
      </right>
      <top/>
      <bottom style="hair">
        <color indexed="64"/>
      </bottom>
      <diagonal/>
    </border>
    <border>
      <left style="thin">
        <color indexed="64"/>
      </left>
      <right style="thin">
        <color indexed="64"/>
      </right>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medium">
        <color indexed="64"/>
      </top>
      <bottom/>
      <diagonal/>
    </border>
    <border>
      <left/>
      <right style="thin">
        <color indexed="64"/>
      </right>
      <top style="hair">
        <color indexed="64"/>
      </top>
      <bottom/>
      <diagonal/>
    </border>
    <border>
      <left style="thin">
        <color indexed="64"/>
      </left>
      <right/>
      <top style="thin">
        <color indexed="64"/>
      </top>
      <bottom/>
      <diagonal/>
    </border>
    <border>
      <left/>
      <right/>
      <top style="thin">
        <color indexed="64"/>
      </top>
      <bottom/>
      <diagonal/>
    </border>
    <border>
      <left style="thin">
        <color indexed="64"/>
      </left>
      <right style="medium">
        <color indexed="64"/>
      </right>
      <top/>
      <bottom style="thick">
        <color indexed="64"/>
      </bottom>
      <diagonal/>
    </border>
    <border>
      <left style="medium">
        <color indexed="64"/>
      </left>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right style="medium">
        <color indexed="64"/>
      </right>
      <top style="hair">
        <color indexed="64"/>
      </top>
      <bottom style="thick">
        <color indexed="64"/>
      </bottom>
      <diagonal/>
    </border>
    <border>
      <left/>
      <right/>
      <top style="hair">
        <color indexed="64"/>
      </top>
      <bottom style="thick">
        <color indexed="64"/>
      </bottom>
      <diagonal/>
    </border>
    <border>
      <left style="medium">
        <color indexed="64"/>
      </left>
      <right style="thick">
        <color indexed="64"/>
      </right>
      <top style="hair">
        <color indexed="64"/>
      </top>
      <bottom style="thick">
        <color indexed="64"/>
      </bottom>
      <diagonal/>
    </border>
    <border>
      <left style="thick">
        <color indexed="64"/>
      </left>
      <right/>
      <top style="thin">
        <color indexed="64"/>
      </top>
      <bottom style="thick">
        <color indexed="64"/>
      </bottom>
      <diagonal/>
    </border>
    <border>
      <left style="hair">
        <color indexed="64"/>
      </left>
      <right style="thin">
        <color indexed="64"/>
      </right>
      <top style="thin">
        <color indexed="64"/>
      </top>
      <bottom style="thick">
        <color indexed="64"/>
      </bottom>
      <diagonal/>
    </border>
    <border>
      <left style="thin">
        <color indexed="64"/>
      </left>
      <right style="medium">
        <color indexed="64"/>
      </right>
      <top style="thick">
        <color indexed="64"/>
      </top>
      <bottom/>
      <diagonal/>
    </border>
    <border>
      <left style="thick">
        <color indexed="64"/>
      </left>
      <right/>
      <top/>
      <bottom/>
      <diagonal/>
    </border>
    <border>
      <left style="hair">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hair">
        <color indexed="64"/>
      </bottom>
      <diagonal/>
    </border>
    <border>
      <left style="thick">
        <color indexed="64"/>
      </left>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ck">
        <color indexed="64"/>
      </left>
      <right style="thick">
        <color indexed="64"/>
      </right>
      <top/>
      <bottom/>
      <diagonal/>
    </border>
    <border>
      <left style="thick">
        <color indexed="64"/>
      </left>
      <right style="thick">
        <color indexed="64"/>
      </right>
      <top/>
      <bottom style="thin">
        <color indexed="64"/>
      </bottom>
      <diagonal/>
    </border>
    <border>
      <left style="medium">
        <color indexed="64"/>
      </left>
      <right/>
      <top/>
      <bottom/>
      <diagonal/>
    </border>
    <border>
      <left style="medium">
        <color indexed="64"/>
      </left>
      <right/>
      <top/>
      <bottom style="double">
        <color indexed="64"/>
      </bottom>
      <diagonal/>
    </border>
    <border>
      <left style="medium">
        <color indexed="64"/>
      </left>
      <right style="double">
        <color indexed="64"/>
      </right>
      <top/>
      <bottom/>
      <diagonal/>
    </border>
    <border>
      <left style="dashed">
        <color indexed="64"/>
      </left>
      <right style="medium">
        <color indexed="64"/>
      </right>
      <top/>
      <bottom/>
      <diagonal/>
    </border>
    <border>
      <left style="dashed">
        <color indexed="64"/>
      </left>
      <right style="medium">
        <color indexed="64"/>
      </right>
      <top/>
      <bottom style="double">
        <color indexed="64"/>
      </bottom>
      <diagonal/>
    </border>
    <border>
      <left style="thin">
        <color indexed="64"/>
      </left>
      <right/>
      <top style="medium">
        <color indexed="64"/>
      </top>
      <bottom style="medium">
        <color indexed="64"/>
      </bottom>
      <diagonal/>
    </border>
    <border>
      <left style="double">
        <color indexed="64"/>
      </left>
      <right/>
      <top style="hair">
        <color indexed="64"/>
      </top>
      <bottom style="thick">
        <color indexed="64"/>
      </bottom>
      <diagonal/>
    </border>
    <border>
      <left style="medium">
        <color indexed="64"/>
      </left>
      <right/>
      <top style="hair">
        <color indexed="64"/>
      </top>
      <bottom style="medium">
        <color indexed="64"/>
      </bottom>
      <diagonal/>
    </border>
    <border>
      <left/>
      <right/>
      <top/>
      <bottom style="thick">
        <color indexed="64"/>
      </bottom>
      <diagonal/>
    </border>
    <border>
      <left style="double">
        <color indexed="64"/>
      </left>
      <right/>
      <top/>
      <bottom style="thin">
        <color indexed="64"/>
      </bottom>
      <diagonal/>
    </border>
    <border>
      <left style="hair">
        <color indexed="64"/>
      </left>
      <right style="hair">
        <color indexed="64"/>
      </right>
      <top/>
      <bottom/>
      <diagonal/>
    </border>
    <border>
      <left style="double">
        <color indexed="64"/>
      </left>
      <right style="hair">
        <color indexed="64"/>
      </right>
      <top style="thick">
        <color indexed="64"/>
      </top>
      <bottom/>
      <diagonal/>
    </border>
    <border>
      <left/>
      <right style="hair">
        <color indexed="64"/>
      </right>
      <top/>
      <bottom/>
      <diagonal/>
    </border>
    <border>
      <left/>
      <right style="thick">
        <color indexed="64"/>
      </right>
      <top/>
      <bottom/>
      <diagonal/>
    </border>
    <border>
      <left style="double">
        <color indexed="64"/>
      </left>
      <right style="hair">
        <color indexed="64"/>
      </right>
      <top/>
      <bottom/>
      <diagonal/>
    </border>
    <border>
      <left style="hair">
        <color indexed="64"/>
      </left>
      <right style="hair">
        <color indexed="64"/>
      </right>
      <top/>
      <bottom style="hair">
        <color indexed="64"/>
      </bottom>
      <diagonal/>
    </border>
    <border>
      <left/>
      <right style="medium">
        <color indexed="64"/>
      </right>
      <top/>
      <bottom style="hair">
        <color indexed="64"/>
      </bottom>
      <diagonal/>
    </border>
    <border>
      <left style="double">
        <color indexed="64"/>
      </left>
      <right style="hair">
        <color indexed="64"/>
      </right>
      <top/>
      <bottom style="hair">
        <color indexed="64"/>
      </bottom>
      <diagonal/>
    </border>
    <border>
      <left/>
      <right style="hair">
        <color indexed="64"/>
      </right>
      <top/>
      <bottom style="hair">
        <color indexed="64"/>
      </bottom>
      <diagonal/>
    </border>
    <border>
      <left/>
      <right style="thick">
        <color indexed="64"/>
      </right>
      <top/>
      <bottom style="hair">
        <color indexed="64"/>
      </bottom>
      <diagonal/>
    </border>
    <border>
      <left/>
      <right style="thin">
        <color indexed="64"/>
      </right>
      <top style="thin">
        <color indexed="64"/>
      </top>
      <bottom/>
      <diagonal/>
    </border>
    <border>
      <left style="thin">
        <color indexed="64"/>
      </left>
      <right style="thin">
        <color indexed="64"/>
      </right>
      <top style="thin">
        <color indexed="64"/>
      </top>
      <bottom style="thick">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style="double">
        <color indexed="64"/>
      </bottom>
      <diagonal/>
    </border>
    <border>
      <left/>
      <right/>
      <top style="thin">
        <color indexed="64"/>
      </top>
      <bottom style="hair">
        <color indexed="64"/>
      </bottom>
      <diagonal/>
    </border>
    <border>
      <left style="double">
        <color indexed="64"/>
      </left>
      <right/>
      <top style="thin">
        <color indexed="64"/>
      </top>
      <bottom style="hair">
        <color indexed="64"/>
      </bottom>
      <diagonal/>
    </border>
    <border>
      <left/>
      <right style="thin">
        <color indexed="64"/>
      </right>
      <top style="hair">
        <color indexed="64"/>
      </top>
      <bottom style="hair">
        <color indexed="64"/>
      </bottom>
      <diagonal/>
    </border>
    <border>
      <left style="medium">
        <color indexed="64"/>
      </left>
      <right style="double">
        <color indexed="64"/>
      </right>
      <top style="dotted">
        <color indexed="64"/>
      </top>
      <bottom style="dotted">
        <color indexed="64"/>
      </bottom>
      <diagonal/>
    </border>
    <border>
      <left style="thin">
        <color indexed="64"/>
      </left>
      <right/>
      <top style="dotted">
        <color indexed="64"/>
      </top>
      <bottom style="dotted">
        <color indexed="64"/>
      </bottom>
      <diagonal/>
    </border>
    <border>
      <left style="dashed">
        <color indexed="64"/>
      </left>
      <right style="medium">
        <color indexed="64"/>
      </right>
      <top style="dotted">
        <color indexed="64"/>
      </top>
      <bottom style="dotted">
        <color indexed="64"/>
      </bottom>
      <diagonal/>
    </border>
    <border>
      <left style="thin">
        <color indexed="64"/>
      </left>
      <right/>
      <top/>
      <bottom style="medium">
        <color indexed="64"/>
      </bottom>
      <diagonal/>
    </border>
    <border>
      <left style="medium">
        <color indexed="64"/>
      </left>
      <right style="double">
        <color indexed="64"/>
      </right>
      <top/>
      <bottom style="medium">
        <color indexed="64"/>
      </bottom>
      <diagonal/>
    </border>
    <border>
      <left style="dashed">
        <color indexed="64"/>
      </left>
      <right/>
      <top/>
      <bottom style="medium">
        <color indexed="64"/>
      </bottom>
      <diagonal/>
    </border>
    <border>
      <left style="dashed">
        <color indexed="64"/>
      </left>
      <right style="medium">
        <color indexed="64"/>
      </right>
      <top/>
      <bottom style="medium">
        <color indexed="64"/>
      </bottom>
      <diagonal/>
    </border>
    <border>
      <left style="double">
        <color indexed="64"/>
      </left>
      <right style="dashed">
        <color indexed="64"/>
      </right>
      <top/>
      <bottom style="medium">
        <color indexed="64"/>
      </bottom>
      <diagonal/>
    </border>
    <border>
      <left style="medium">
        <color indexed="64"/>
      </left>
      <right/>
      <top style="dotted">
        <color indexed="64"/>
      </top>
      <bottom style="medium">
        <color indexed="64"/>
      </bottom>
      <diagonal/>
    </border>
    <border>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style="hair">
        <color indexed="64"/>
      </right>
      <top style="dotted">
        <color indexed="64"/>
      </top>
      <bottom style="medium">
        <color indexed="64"/>
      </bottom>
      <diagonal/>
    </border>
    <border>
      <left style="medium">
        <color indexed="64"/>
      </left>
      <right style="dotted">
        <color indexed="64"/>
      </right>
      <top style="dotted">
        <color indexed="64"/>
      </top>
      <bottom style="medium">
        <color indexed="64"/>
      </bottom>
      <diagonal/>
    </border>
    <border>
      <left/>
      <right style="medium">
        <color indexed="64"/>
      </right>
      <top style="hair">
        <color indexed="64"/>
      </top>
      <bottom style="medium">
        <color indexed="64"/>
      </bottom>
      <diagonal/>
    </border>
    <border>
      <left style="medium">
        <color auto="1"/>
      </left>
      <right style="medium">
        <color auto="1"/>
      </right>
      <top style="medium">
        <color auto="1"/>
      </top>
      <bottom style="medium">
        <color auto="1"/>
      </bottom>
      <diagonal/>
    </border>
    <border>
      <left/>
      <right style="medium">
        <color indexed="64"/>
      </right>
      <top style="medium">
        <color indexed="64"/>
      </top>
      <bottom style="medium">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right style="thin">
        <color indexed="64"/>
      </right>
      <top/>
      <bottom style="medium">
        <color auto="1"/>
      </bottom>
      <diagonal/>
    </border>
    <border>
      <left style="thin">
        <color indexed="64"/>
      </left>
      <right style="thin">
        <color indexed="64"/>
      </right>
      <top/>
      <bottom style="medium">
        <color auto="1"/>
      </bottom>
      <diagonal/>
    </border>
    <border>
      <left style="thick">
        <color indexed="64"/>
      </left>
      <right style="hair">
        <color indexed="64"/>
      </right>
      <top/>
      <bottom style="thin">
        <color indexed="64"/>
      </bottom>
      <diagonal/>
    </border>
    <border>
      <left style="dashed">
        <color indexed="64"/>
      </left>
      <right style="medium">
        <color indexed="64"/>
      </right>
      <top style="dotted">
        <color indexed="64"/>
      </top>
      <bottom style="medium">
        <color indexed="64"/>
      </bottom>
      <diagonal/>
    </border>
    <border>
      <left style="thin">
        <color indexed="64"/>
      </left>
      <right/>
      <top style="dotted">
        <color indexed="64"/>
      </top>
      <bottom style="medium">
        <color indexed="64"/>
      </bottom>
      <diagonal/>
    </border>
    <border>
      <left style="medium">
        <color indexed="64"/>
      </left>
      <right/>
      <top style="hair">
        <color indexed="64"/>
      </top>
      <bottom/>
      <diagonal/>
    </border>
    <border>
      <left style="medium">
        <color indexed="64"/>
      </left>
      <right style="medium">
        <color indexed="64"/>
      </right>
      <top style="hair">
        <color indexed="64"/>
      </top>
      <bottom/>
      <diagonal/>
    </border>
    <border>
      <left/>
      <right style="hair">
        <color indexed="64"/>
      </right>
      <top style="hair">
        <color indexed="64"/>
      </top>
      <bottom style="hair">
        <color indexed="64"/>
      </bottom>
      <diagonal/>
    </border>
    <border>
      <left/>
      <right style="medium">
        <color indexed="64"/>
      </right>
      <top style="hair">
        <color indexed="64"/>
      </top>
      <bottom/>
      <diagonal/>
    </border>
    <border>
      <left/>
      <right style="thin">
        <color indexed="64"/>
      </right>
      <top style="hair">
        <color indexed="64"/>
      </top>
      <bottom style="medium">
        <color indexed="64"/>
      </bottom>
      <diagonal/>
    </border>
    <border>
      <left style="thin">
        <color indexed="64"/>
      </left>
      <right style="thin">
        <color indexed="64"/>
      </right>
      <top style="thin">
        <color indexed="64"/>
      </top>
      <bottom style="medium">
        <color indexed="64"/>
      </bottom>
      <diagonal/>
    </border>
  </borders>
  <cellStyleXfs count="62">
    <xf numFmtId="0" fontId="0" fillId="0" borderId="0"/>
    <xf numFmtId="173" fontId="11" fillId="0" borderId="0" applyFont="0" applyFill="0" applyBorder="0" applyAlignment="0" applyProtection="0"/>
    <xf numFmtId="0" fontId="12" fillId="0" borderId="0" applyFont="0" applyFill="0" applyBorder="0" applyAlignment="0" applyProtection="0"/>
    <xf numFmtId="174" fontId="11" fillId="0" borderId="0" applyFont="0" applyFill="0" applyBorder="0" applyAlignment="0" applyProtection="0"/>
    <xf numFmtId="179" fontId="11" fillId="0" borderId="0" applyFont="0" applyFill="0" applyBorder="0" applyAlignment="0" applyProtection="0"/>
    <xf numFmtId="176" fontId="11" fillId="0" borderId="0" applyFont="0" applyFill="0" applyBorder="0" applyAlignment="0" applyProtection="0"/>
    <xf numFmtId="171" fontId="11" fillId="0" borderId="0" applyFont="0" applyFill="0" applyBorder="0" applyAlignment="0" applyProtection="0"/>
    <xf numFmtId="14" fontId="11" fillId="0" borderId="0" applyFont="0" applyFill="0" applyBorder="0" applyAlignment="0" applyProtection="0"/>
    <xf numFmtId="0" fontId="10" fillId="0" borderId="0"/>
    <xf numFmtId="175" fontId="11" fillId="0" borderId="0" applyFont="0" applyFill="0" applyBorder="0" applyAlignment="0" applyProtection="0"/>
    <xf numFmtId="0" fontId="12" fillId="0" borderId="0" applyFont="0" applyFill="0" applyBorder="0" applyAlignment="0" applyProtection="0"/>
    <xf numFmtId="40" fontId="13" fillId="0" borderId="0" applyFont="0" applyFill="0" applyBorder="0" applyAlignment="0" applyProtection="0"/>
    <xf numFmtId="0" fontId="14" fillId="0" borderId="0">
      <alignment horizontal="center" wrapText="1"/>
      <protection locked="0"/>
    </xf>
    <xf numFmtId="168" fontId="11" fillId="0" borderId="0" applyFont="0" applyFill="0" applyBorder="0" applyAlignment="0" applyProtection="0"/>
    <xf numFmtId="170" fontId="11" fillId="0" borderId="0" applyFont="0" applyFill="0" applyBorder="0" applyAlignment="0" applyProtection="0"/>
    <xf numFmtId="38" fontId="16" fillId="2" borderId="0" applyNumberFormat="0" applyBorder="0" applyAlignment="0" applyProtection="0"/>
    <xf numFmtId="0" fontId="17" fillId="0" borderId="1" applyNumberFormat="0" applyAlignment="0" applyProtection="0">
      <alignment horizontal="left" vertical="center"/>
    </xf>
    <xf numFmtId="0" fontId="17" fillId="0" borderId="2">
      <alignment horizontal="left" vertical="center"/>
    </xf>
    <xf numFmtId="10" fontId="16" fillId="3" borderId="3" applyNumberFormat="0" applyBorder="0" applyAlignment="0" applyProtection="0"/>
    <xf numFmtId="41" fontId="9" fillId="0" borderId="0" applyFont="0" applyFill="0" applyBorder="0" applyAlignment="0" applyProtection="0"/>
    <xf numFmtId="43" fontId="9" fillId="0" borderId="0" applyFont="0" applyFill="0" applyBorder="0" applyAlignment="0" applyProtection="0"/>
    <xf numFmtId="42" fontId="9" fillId="0" borderId="0" applyFont="0" applyFill="0" applyBorder="0" applyAlignment="0" applyProtection="0"/>
    <xf numFmtId="44" fontId="9" fillId="0" borderId="0" applyFont="0" applyFill="0" applyBorder="0" applyAlignment="0" applyProtection="0"/>
    <xf numFmtId="42" fontId="9" fillId="0" borderId="0" applyFont="0" applyFill="0" applyBorder="0" applyAlignment="0" applyProtection="0"/>
    <xf numFmtId="44" fontId="9" fillId="0" borderId="0" applyFont="0" applyFill="0" applyBorder="0" applyAlignment="0" applyProtection="0"/>
    <xf numFmtId="178" fontId="11" fillId="0" borderId="0"/>
    <xf numFmtId="0" fontId="9" fillId="0" borderId="0"/>
    <xf numFmtId="0" fontId="9" fillId="0" borderId="0"/>
    <xf numFmtId="40" fontId="15" fillId="0" borderId="0" applyFont="0" applyFill="0" applyBorder="0" applyAlignment="0" applyProtection="0"/>
    <xf numFmtId="38" fontId="15" fillId="0" borderId="0" applyFont="0" applyFill="0" applyBorder="0" applyAlignment="0" applyProtection="0"/>
    <xf numFmtId="14" fontId="14" fillId="0" borderId="0">
      <alignment horizontal="center" wrapText="1"/>
      <protection locked="0"/>
    </xf>
    <xf numFmtId="10"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172" fontId="18" fillId="0" borderId="0"/>
    <xf numFmtId="177" fontId="11" fillId="0" borderId="0" applyFont="0" applyFill="0" applyBorder="0" applyAlignment="0" applyProtection="0"/>
    <xf numFmtId="167" fontId="11" fillId="0" borderId="0" applyFont="0" applyFill="0" applyBorder="0" applyAlignment="0" applyProtection="0"/>
    <xf numFmtId="169" fontId="11" fillId="0" borderId="0" applyFont="0" applyFill="0" applyBorder="0" applyAlignment="0" applyProtection="0"/>
    <xf numFmtId="0" fontId="19" fillId="0" borderId="0">
      <alignment horizontal="left"/>
    </xf>
    <xf numFmtId="0" fontId="7" fillId="0" borderId="0"/>
    <xf numFmtId="0" fontId="6" fillId="0" borderId="0"/>
    <xf numFmtId="0" fontId="5" fillId="0" borderId="0"/>
    <xf numFmtId="0" fontId="5" fillId="0" borderId="0"/>
    <xf numFmtId="38" fontId="12" fillId="2" borderId="0" applyNumberFormat="0" applyBorder="0" applyAlignment="0" applyProtection="0"/>
    <xf numFmtId="10" fontId="12" fillId="3" borderId="3" applyNumberFormat="0" applyBorder="0" applyAlignment="0" applyProtection="0"/>
    <xf numFmtId="0" fontId="9" fillId="0" borderId="0"/>
    <xf numFmtId="0" fontId="8" fillId="0" borderId="0">
      <alignment horizontal="left"/>
    </xf>
    <xf numFmtId="0" fontId="4" fillId="0" borderId="0"/>
    <xf numFmtId="0" fontId="4" fillId="0" borderId="0"/>
    <xf numFmtId="38" fontId="12" fillId="2" borderId="0" applyNumberFormat="0" applyBorder="0" applyAlignment="0" applyProtection="0"/>
    <xf numFmtId="10" fontId="12" fillId="3" borderId="3" applyNumberFormat="0" applyBorder="0" applyAlignment="0" applyProtection="0"/>
    <xf numFmtId="0" fontId="8" fillId="0" borderId="0">
      <alignment horizontal="left"/>
    </xf>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3" fillId="0" borderId="0"/>
    <xf numFmtId="0" fontId="2" fillId="0" borderId="0"/>
    <xf numFmtId="0" fontId="1" fillId="0" borderId="0"/>
  </cellStyleXfs>
  <cellXfs count="681">
    <xf numFmtId="0" fontId="0" fillId="0" borderId="0" xfId="0"/>
    <xf numFmtId="0" fontId="10" fillId="0" borderId="0" xfId="0" applyFont="1"/>
    <xf numFmtId="0" fontId="16" fillId="0" borderId="0" xfId="27" applyFont="1" applyProtection="1">
      <protection hidden="1"/>
    </xf>
    <xf numFmtId="0" fontId="9" fillId="0" borderId="0" xfId="27" applyProtection="1">
      <protection hidden="1"/>
    </xf>
    <xf numFmtId="0" fontId="0" fillId="0" borderId="0" xfId="0" applyProtection="1">
      <protection locked="0"/>
    </xf>
    <xf numFmtId="0" fontId="8" fillId="0" borderId="0" xfId="0" applyFont="1" applyAlignment="1">
      <alignment horizontal="right"/>
    </xf>
    <xf numFmtId="0" fontId="19" fillId="0" borderId="0" xfId="0" applyFont="1" applyAlignment="1">
      <alignment horizontal="right"/>
    </xf>
    <xf numFmtId="0" fontId="19" fillId="0" borderId="0" xfId="0" applyFont="1" applyAlignment="1"/>
    <xf numFmtId="0" fontId="10" fillId="0" borderId="0" xfId="0" applyFont="1" applyAlignment="1"/>
    <xf numFmtId="0" fontId="8" fillId="0" borderId="0" xfId="0" applyFont="1" applyAlignment="1"/>
    <xf numFmtId="0" fontId="0" fillId="0" borderId="0" xfId="0" applyAlignment="1"/>
    <xf numFmtId="0" fontId="16" fillId="0" borderId="4" xfId="0" applyFont="1" applyFill="1" applyBorder="1" applyAlignment="1">
      <alignment horizontal="center" vertical="center"/>
    </xf>
    <xf numFmtId="0" fontId="16" fillId="0" borderId="0" xfId="0" applyFont="1" applyFill="1" applyBorder="1" applyAlignment="1">
      <alignment vertical="center"/>
    </xf>
    <xf numFmtId="0" fontId="16" fillId="0" borderId="0" xfId="0" applyFont="1" applyFill="1" applyAlignment="1">
      <alignment vertical="center"/>
    </xf>
    <xf numFmtId="0" fontId="16" fillId="0" borderId="0" xfId="0" applyFont="1" applyFill="1" applyBorder="1" applyAlignment="1">
      <alignment horizontal="center" vertical="center"/>
    </xf>
    <xf numFmtId="0" fontId="24" fillId="0" borderId="0" xfId="0" applyFont="1" applyFill="1"/>
    <xf numFmtId="0" fontId="24" fillId="0" borderId="0" xfId="0" applyFont="1" applyFill="1" applyBorder="1"/>
    <xf numFmtId="0" fontId="24" fillId="0" borderId="0" xfId="0" applyFont="1" applyFill="1" applyBorder="1" applyAlignment="1">
      <alignment vertical="center"/>
    </xf>
    <xf numFmtId="0" fontId="10" fillId="0" borderId="0" xfId="0" applyFont="1" applyFill="1"/>
    <xf numFmtId="0" fontId="10" fillId="0" borderId="0" xfId="0" applyFont="1" applyBorder="1"/>
    <xf numFmtId="0" fontId="24" fillId="0" borderId="0" xfId="0" applyFont="1" applyFill="1" applyAlignment="1">
      <alignment vertical="center"/>
    </xf>
    <xf numFmtId="0" fontId="25" fillId="0" borderId="2" xfId="0" applyFont="1" applyFill="1" applyBorder="1" applyAlignment="1">
      <alignment horizontal="center" vertical="center"/>
    </xf>
    <xf numFmtId="0" fontId="25" fillId="0" borderId="0" xfId="0" applyFont="1" applyFill="1" applyBorder="1" applyAlignment="1">
      <alignment vertical="center"/>
    </xf>
    <xf numFmtId="0" fontId="10" fillId="0" borderId="0" xfId="0" applyFont="1" applyFill="1" applyAlignment="1">
      <alignment vertical="center"/>
    </xf>
    <xf numFmtId="0" fontId="25" fillId="0" borderId="7" xfId="0" applyFont="1" applyFill="1" applyBorder="1" applyAlignment="1">
      <alignment vertical="center"/>
    </xf>
    <xf numFmtId="0" fontId="25" fillId="0" borderId="4" xfId="0" applyFont="1" applyFill="1" applyBorder="1" applyAlignment="1">
      <alignment vertical="center"/>
    </xf>
    <xf numFmtId="0" fontId="25" fillId="0" borderId="8" xfId="0" applyFont="1" applyFill="1" applyBorder="1" applyAlignment="1">
      <alignment vertical="center"/>
    </xf>
    <xf numFmtId="165" fontId="25" fillId="0" borderId="0" xfId="0" applyNumberFormat="1" applyFont="1" applyFill="1" applyBorder="1" applyAlignment="1">
      <alignment vertical="center"/>
    </xf>
    <xf numFmtId="0" fontId="25" fillId="0" borderId="0" xfId="0" applyFont="1" applyFill="1" applyBorder="1" applyAlignment="1">
      <alignment horizontal="right" vertical="center"/>
    </xf>
    <xf numFmtId="0" fontId="10" fillId="0" borderId="0" xfId="0" applyFont="1" applyFill="1" applyBorder="1" applyAlignment="1">
      <alignment vertical="center"/>
    </xf>
    <xf numFmtId="0" fontId="25" fillId="0" borderId="0" xfId="0" applyFont="1" applyFill="1" applyAlignment="1">
      <alignment vertical="center"/>
    </xf>
    <xf numFmtId="0" fontId="29" fillId="0" borderId="0" xfId="0" applyFont="1" applyFill="1" applyAlignment="1">
      <alignment vertical="center"/>
    </xf>
    <xf numFmtId="0" fontId="31" fillId="0" borderId="0" xfId="0" applyFont="1" applyFill="1" applyAlignment="1">
      <alignment vertical="center"/>
    </xf>
    <xf numFmtId="0" fontId="32" fillId="0" borderId="0" xfId="0" applyNumberFormat="1" applyFont="1" applyFill="1" applyAlignment="1">
      <alignment horizontal="left" vertical="center"/>
    </xf>
    <xf numFmtId="0" fontId="33" fillId="0" borderId="0" xfId="0" applyFont="1" applyFill="1" applyAlignment="1">
      <alignment vertical="center"/>
    </xf>
    <xf numFmtId="0" fontId="25" fillId="0" borderId="0" xfId="0" applyNumberFormat="1" applyFont="1" applyFill="1" applyBorder="1" applyAlignment="1">
      <alignment horizontal="left" vertical="center"/>
    </xf>
    <xf numFmtId="0" fontId="33" fillId="0" borderId="0" xfId="0" applyFont="1" applyFill="1" applyBorder="1" applyAlignment="1">
      <alignment vertical="center"/>
    </xf>
    <xf numFmtId="0" fontId="10" fillId="0" borderId="0" xfId="0" applyFont="1" applyFill="1" applyAlignment="1">
      <alignment horizontal="center" vertical="center"/>
    </xf>
    <xf numFmtId="0" fontId="25" fillId="0" borderId="0" xfId="0" applyNumberFormat="1" applyFont="1" applyFill="1" applyAlignment="1">
      <alignment horizontal="left" vertical="center"/>
    </xf>
    <xf numFmtId="0" fontId="33" fillId="0" borderId="0" xfId="0" applyNumberFormat="1" applyFont="1" applyFill="1" applyAlignment="1">
      <alignment horizontal="left" vertical="center"/>
    </xf>
    <xf numFmtId="0" fontId="25" fillId="0" borderId="0" xfId="0" applyFont="1" applyFill="1" applyBorder="1" applyAlignment="1">
      <alignment horizontal="center" vertical="center"/>
    </xf>
    <xf numFmtId="49" fontId="25" fillId="0" borderId="0" xfId="0" applyNumberFormat="1" applyFont="1" applyFill="1" applyBorder="1" applyAlignment="1">
      <alignment vertical="center"/>
    </xf>
    <xf numFmtId="22" fontId="25" fillId="0" borderId="0" xfId="0" applyNumberFormat="1" applyFont="1" applyFill="1" applyAlignment="1">
      <alignment horizontal="left" vertical="center"/>
    </xf>
    <xf numFmtId="0" fontId="19" fillId="0" borderId="0" xfId="0" applyFont="1" applyFill="1"/>
    <xf numFmtId="164" fontId="19" fillId="0" borderId="0" xfId="0" applyNumberFormat="1" applyFont="1" applyFill="1" applyBorder="1" applyAlignment="1">
      <alignment horizontal="center" vertical="center"/>
    </xf>
    <xf numFmtId="0" fontId="33" fillId="0" borderId="9" xfId="0" applyFont="1" applyFill="1" applyBorder="1" applyAlignment="1">
      <alignment vertical="center"/>
    </xf>
    <xf numFmtId="0" fontId="16" fillId="0" borderId="8" xfId="0" applyFont="1" applyFill="1" applyBorder="1" applyAlignment="1">
      <alignment horizontal="center" vertical="center"/>
    </xf>
    <xf numFmtId="0" fontId="16" fillId="0" borderId="11" xfId="0" applyFont="1" applyFill="1" applyBorder="1" applyAlignment="1">
      <alignment vertical="center"/>
    </xf>
    <xf numFmtId="165" fontId="25" fillId="0" borderId="5" xfId="0" applyNumberFormat="1" applyFont="1" applyFill="1" applyBorder="1" applyAlignment="1">
      <alignment horizontal="center" vertical="center"/>
    </xf>
    <xf numFmtId="165" fontId="25" fillId="0" borderId="0" xfId="0" applyNumberFormat="1" applyFont="1" applyFill="1" applyBorder="1" applyAlignment="1">
      <alignment horizontal="right" vertical="center"/>
    </xf>
    <xf numFmtId="0" fontId="25" fillId="0" borderId="0" xfId="0" quotePrefix="1" applyNumberFormat="1" applyFont="1" applyFill="1" applyAlignment="1">
      <alignment horizontal="left" vertical="center"/>
    </xf>
    <xf numFmtId="0" fontId="16" fillId="0" borderId="8" xfId="0" applyFont="1" applyFill="1" applyBorder="1" applyAlignment="1">
      <alignment vertical="center"/>
    </xf>
    <xf numFmtId="165" fontId="25" fillId="0" borderId="0" xfId="0" applyNumberFormat="1" applyFont="1" applyFill="1" applyBorder="1" applyAlignment="1">
      <alignment horizontal="center" vertical="center"/>
    </xf>
    <xf numFmtId="0" fontId="37" fillId="0" borderId="14" xfId="0" applyFont="1" applyFill="1" applyBorder="1" applyAlignment="1">
      <alignment vertical="center"/>
    </xf>
    <xf numFmtId="0" fontId="37" fillId="0" borderId="2" xfId="0" applyFont="1" applyFill="1" applyBorder="1" applyAlignment="1">
      <alignment vertical="center"/>
    </xf>
    <xf numFmtId="0" fontId="25" fillId="0" borderId="11" xfId="0" applyFont="1" applyFill="1" applyBorder="1" applyAlignment="1">
      <alignment vertical="center"/>
    </xf>
    <xf numFmtId="0" fontId="25" fillId="0" borderId="6" xfId="0" applyFont="1" applyFill="1" applyBorder="1" applyAlignment="1">
      <alignment vertical="center"/>
    </xf>
    <xf numFmtId="0" fontId="30" fillId="0" borderId="0" xfId="0" applyFont="1"/>
    <xf numFmtId="0" fontId="25" fillId="0" borderId="10" xfId="0" applyFont="1" applyFill="1" applyBorder="1" applyAlignment="1">
      <alignment vertical="center"/>
    </xf>
    <xf numFmtId="0" fontId="16" fillId="0" borderId="0" xfId="0" applyFont="1" applyFill="1" applyBorder="1" applyAlignment="1">
      <alignment horizontal="centerContinuous" vertical="center"/>
    </xf>
    <xf numFmtId="0" fontId="24" fillId="0" borderId="0" xfId="0" applyFont="1" applyFill="1" applyAlignment="1">
      <alignment horizontal="center" vertical="center"/>
    </xf>
    <xf numFmtId="0" fontId="10" fillId="0" borderId="0" xfId="0" applyFont="1" applyAlignment="1">
      <alignment horizontal="left"/>
    </xf>
    <xf numFmtId="166" fontId="16" fillId="0" borderId="0" xfId="0" applyNumberFormat="1" applyFont="1" applyFill="1" applyBorder="1" applyAlignment="1">
      <alignment horizontal="center" vertical="center"/>
    </xf>
    <xf numFmtId="0" fontId="36" fillId="0" borderId="0" xfId="0" applyFont="1" applyFill="1" applyAlignment="1">
      <alignment vertical="center"/>
    </xf>
    <xf numFmtId="0" fontId="21" fillId="0" borderId="0" xfId="0" applyFont="1" applyFill="1" applyBorder="1" applyAlignment="1">
      <alignment vertical="center"/>
    </xf>
    <xf numFmtId="0" fontId="26" fillId="0" borderId="0" xfId="0" applyFont="1" applyFill="1" applyBorder="1" applyAlignment="1">
      <alignment vertical="center"/>
    </xf>
    <xf numFmtId="49" fontId="27" fillId="0" borderId="0" xfId="0" quotePrefix="1" applyNumberFormat="1" applyFont="1" applyFill="1" applyBorder="1" applyAlignment="1">
      <alignment vertical="center"/>
    </xf>
    <xf numFmtId="0" fontId="19" fillId="0" borderId="0" xfId="0" applyFont="1" applyFill="1" applyBorder="1" applyAlignment="1">
      <alignment vertical="center"/>
    </xf>
    <xf numFmtId="14" fontId="19" fillId="0" borderId="0" xfId="0" applyNumberFormat="1" applyFont="1" applyFill="1" applyAlignment="1">
      <alignment horizontal="center" vertical="center"/>
    </xf>
    <xf numFmtId="0" fontId="36" fillId="0" borderId="0" xfId="0" applyFont="1" applyFill="1" applyBorder="1" applyAlignment="1">
      <alignment vertical="center"/>
    </xf>
    <xf numFmtId="0" fontId="28" fillId="0" borderId="0" xfId="0" applyFont="1" applyFill="1" applyAlignment="1">
      <alignment vertical="center"/>
    </xf>
    <xf numFmtId="0" fontId="17" fillId="0" borderId="0" xfId="0" applyFont="1" applyFill="1" applyAlignment="1">
      <alignment vertical="center"/>
    </xf>
    <xf numFmtId="0" fontId="10" fillId="0" borderId="0" xfId="0" applyNumberFormat="1" applyFont="1" applyFill="1" applyAlignment="1">
      <alignment horizontal="left" vertical="center"/>
    </xf>
    <xf numFmtId="0" fontId="19" fillId="0" borderId="0" xfId="0" applyFont="1" applyFill="1" applyBorder="1" applyAlignment="1">
      <alignment horizontal="center" vertical="center"/>
    </xf>
    <xf numFmtId="166" fontId="19" fillId="0" borderId="0" xfId="0" applyNumberFormat="1" applyFont="1" applyFill="1" applyBorder="1" applyAlignment="1">
      <alignment horizontal="center" vertical="center"/>
    </xf>
    <xf numFmtId="165" fontId="10" fillId="0" borderId="0" xfId="0" applyNumberFormat="1" applyFont="1" applyFill="1" applyAlignment="1">
      <alignment vertical="center"/>
    </xf>
    <xf numFmtId="165" fontId="25" fillId="0" borderId="0" xfId="0" applyNumberFormat="1" applyFont="1" applyFill="1" applyAlignment="1">
      <alignment vertical="center"/>
    </xf>
    <xf numFmtId="0" fontId="25" fillId="0" borderId="0" xfId="0" applyFont="1" applyFill="1" applyAlignment="1">
      <alignment horizontal="center" vertical="center"/>
    </xf>
    <xf numFmtId="0" fontId="10" fillId="0" borderId="0" xfId="0" applyFont="1" applyFill="1" applyBorder="1" applyAlignment="1">
      <alignment horizontal="center" vertical="center"/>
    </xf>
    <xf numFmtId="0" fontId="24" fillId="0" borderId="7" xfId="0" applyFont="1" applyFill="1" applyBorder="1" applyAlignment="1">
      <alignment vertical="center"/>
    </xf>
    <xf numFmtId="0" fontId="24" fillId="0" borderId="16" xfId="0" applyFont="1" applyFill="1" applyBorder="1" applyAlignment="1">
      <alignment vertical="center"/>
    </xf>
    <xf numFmtId="0" fontId="24" fillId="0" borderId="11" xfId="0" applyFont="1" applyFill="1" applyBorder="1" applyAlignment="1">
      <alignment vertical="center"/>
    </xf>
    <xf numFmtId="0" fontId="19" fillId="0" borderId="0" xfId="0" applyFont="1" applyFill="1" applyAlignment="1">
      <alignment vertical="center"/>
    </xf>
    <xf numFmtId="0" fontId="24" fillId="0" borderId="0" xfId="0" applyFont="1" applyFill="1" applyBorder="1" applyAlignment="1">
      <alignment horizontal="center" vertical="center"/>
    </xf>
    <xf numFmtId="0" fontId="19" fillId="0" borderId="0" xfId="0" applyFont="1" applyFill="1" applyBorder="1"/>
    <xf numFmtId="0" fontId="38" fillId="0" borderId="0" xfId="0" applyFont="1" applyFill="1" applyAlignment="1">
      <alignment vertical="center"/>
    </xf>
    <xf numFmtId="0" fontId="38" fillId="0" borderId="0" xfId="0" applyFont="1" applyFill="1" applyAlignment="1">
      <alignment horizontal="centerContinuous" vertical="center"/>
    </xf>
    <xf numFmtId="0" fontId="38" fillId="0" borderId="0" xfId="0" applyFont="1" applyFill="1" applyBorder="1" applyAlignment="1">
      <alignment horizontal="centerContinuous" vertical="center"/>
    </xf>
    <xf numFmtId="0" fontId="24" fillId="0" borderId="0" xfId="0" applyFont="1" applyFill="1" applyBorder="1" applyAlignment="1">
      <alignment horizontal="left" vertical="center"/>
    </xf>
    <xf numFmtId="0" fontId="23" fillId="0" borderId="0" xfId="0" applyFont="1" applyFill="1" applyAlignment="1">
      <alignment horizontal="center" vertical="center"/>
    </xf>
    <xf numFmtId="0" fontId="16" fillId="0" borderId="0" xfId="0" applyFont="1" applyFill="1" applyBorder="1" applyAlignment="1">
      <alignment horizontal="right" vertical="center"/>
    </xf>
    <xf numFmtId="0" fontId="22" fillId="0" borderId="13" xfId="0" quotePrefix="1" applyFont="1" applyFill="1" applyBorder="1" applyAlignment="1">
      <alignment horizontal="left" vertical="center"/>
    </xf>
    <xf numFmtId="0" fontId="30" fillId="0" borderId="0" xfId="0" applyFont="1" applyBorder="1"/>
    <xf numFmtId="0" fontId="39" fillId="0" borderId="0" xfId="0" applyFont="1" applyFill="1" applyBorder="1" applyAlignment="1">
      <alignment horizontal="centerContinuous" vertical="center"/>
    </xf>
    <xf numFmtId="0" fontId="9" fillId="0" borderId="0" xfId="0" applyFont="1"/>
    <xf numFmtId="0" fontId="40" fillId="0" borderId="17" xfId="0" applyFont="1" applyFill="1" applyBorder="1" applyAlignment="1">
      <alignment vertical="center"/>
    </xf>
    <xf numFmtId="0" fontId="24" fillId="0" borderId="0" xfId="0" quotePrefix="1" applyFont="1" applyFill="1" applyAlignment="1">
      <alignment vertical="center"/>
    </xf>
    <xf numFmtId="9" fontId="25" fillId="0" borderId="0" xfId="0" applyNumberFormat="1" applyFont="1" applyFill="1" applyBorder="1" applyAlignment="1">
      <alignment horizontal="center"/>
    </xf>
    <xf numFmtId="0" fontId="40" fillId="0" borderId="0" xfId="0" applyFont="1" applyFill="1" applyBorder="1" applyAlignment="1">
      <alignment vertical="center"/>
    </xf>
    <xf numFmtId="0" fontId="16" fillId="0" borderId="0" xfId="0" quotePrefix="1" applyFont="1" applyFill="1" applyBorder="1" applyAlignment="1">
      <alignment vertical="center"/>
    </xf>
    <xf numFmtId="0" fontId="23" fillId="0" borderId="3" xfId="0" applyFont="1" applyFill="1" applyBorder="1" applyAlignment="1">
      <alignment horizontal="center" vertical="center"/>
    </xf>
    <xf numFmtId="166" fontId="16" fillId="0" borderId="18" xfId="0" applyNumberFormat="1" applyFont="1" applyFill="1" applyBorder="1" applyAlignment="1">
      <alignment horizontal="right" vertical="center"/>
    </xf>
    <xf numFmtId="164" fontId="16" fillId="0" borderId="19" xfId="0" applyNumberFormat="1" applyFont="1" applyFill="1" applyBorder="1" applyAlignment="1">
      <alignment horizontal="right" vertical="center"/>
    </xf>
    <xf numFmtId="164" fontId="16" fillId="0" borderId="18" xfId="0" applyNumberFormat="1" applyFont="1" applyFill="1" applyBorder="1" applyAlignment="1">
      <alignment horizontal="right" vertical="center"/>
    </xf>
    <xf numFmtId="0" fontId="37" fillId="0" borderId="20" xfId="0" applyFont="1" applyFill="1" applyBorder="1" applyAlignment="1">
      <alignment vertical="center"/>
    </xf>
    <xf numFmtId="0" fontId="24" fillId="0" borderId="8" xfId="0" applyFont="1" applyFill="1" applyBorder="1" applyAlignment="1">
      <alignment vertical="center"/>
    </xf>
    <xf numFmtId="49" fontId="16" fillId="0" borderId="0" xfId="0" applyNumberFormat="1" applyFont="1" applyFill="1" applyBorder="1" applyAlignment="1">
      <alignment vertical="center"/>
    </xf>
    <xf numFmtId="0" fontId="23" fillId="0" borderId="0" xfId="0" applyFont="1" applyFill="1" applyBorder="1" applyAlignment="1">
      <alignment vertical="center"/>
    </xf>
    <xf numFmtId="165" fontId="16" fillId="0" borderId="18" xfId="0" quotePrefix="1" applyNumberFormat="1" applyFont="1" applyFill="1" applyBorder="1" applyAlignment="1">
      <alignment horizontal="center" vertical="center"/>
    </xf>
    <xf numFmtId="164" fontId="16" fillId="0" borderId="19" xfId="0" applyNumberFormat="1" applyFont="1" applyFill="1" applyBorder="1" applyAlignment="1">
      <alignment horizontal="center" vertical="center"/>
    </xf>
    <xf numFmtId="0" fontId="44" fillId="0" borderId="0" xfId="0" applyFont="1" applyFill="1" applyBorder="1" applyAlignment="1">
      <alignment vertical="center"/>
    </xf>
    <xf numFmtId="0" fontId="44" fillId="0" borderId="0" xfId="0" applyFont="1" applyFill="1" applyAlignment="1">
      <alignment vertical="center"/>
    </xf>
    <xf numFmtId="0" fontId="16" fillId="0" borderId="23" xfId="0" applyFont="1" applyFill="1" applyBorder="1" applyAlignment="1">
      <alignment horizontal="center" vertical="center"/>
    </xf>
    <xf numFmtId="0" fontId="45" fillId="0" borderId="0" xfId="0" applyFont="1" applyFill="1" applyBorder="1" applyAlignment="1">
      <alignment vertical="center"/>
    </xf>
    <xf numFmtId="14" fontId="34" fillId="0" borderId="0" xfId="0" applyNumberFormat="1" applyFont="1" applyFill="1" applyAlignment="1">
      <alignment horizontal="center" vertical="center"/>
    </xf>
    <xf numFmtId="14" fontId="47" fillId="0" borderId="0" xfId="0" quotePrefix="1" applyNumberFormat="1" applyFont="1" applyFill="1" applyAlignment="1">
      <alignment horizontal="center" vertical="center"/>
    </xf>
    <xf numFmtId="14" fontId="47" fillId="0" borderId="0" xfId="0" quotePrefix="1" applyNumberFormat="1" applyFont="1" applyFill="1" applyBorder="1" applyAlignment="1">
      <alignment horizontal="center" vertical="center"/>
    </xf>
    <xf numFmtId="14" fontId="16" fillId="0" borderId="0" xfId="0" applyNumberFormat="1" applyFont="1" applyFill="1" applyBorder="1" applyAlignment="1">
      <alignment horizontal="centerContinuous" vertical="center"/>
    </xf>
    <xf numFmtId="0" fontId="23" fillId="0" borderId="3" xfId="0" applyFont="1" applyFill="1" applyBorder="1" applyAlignment="1">
      <alignment vertical="center"/>
    </xf>
    <xf numFmtId="0" fontId="24" fillId="0" borderId="0" xfId="0" applyFont="1" applyFill="1" applyAlignment="1">
      <alignment horizontal="left" vertical="center"/>
    </xf>
    <xf numFmtId="22" fontId="24" fillId="0" borderId="0" xfId="0" applyNumberFormat="1" applyFont="1" applyFill="1" applyAlignment="1">
      <alignment horizontal="left" vertical="center"/>
    </xf>
    <xf numFmtId="0" fontId="24" fillId="0" borderId="9" xfId="0" applyFont="1" applyFill="1" applyBorder="1" applyAlignment="1">
      <alignment vertical="center"/>
    </xf>
    <xf numFmtId="0" fontId="25" fillId="0" borderId="5" xfId="0" applyFont="1" applyFill="1" applyBorder="1" applyAlignment="1">
      <alignment vertical="center"/>
    </xf>
    <xf numFmtId="0" fontId="25" fillId="0" borderId="24" xfId="0" applyFont="1" applyFill="1" applyBorder="1" applyAlignment="1">
      <alignment vertical="center"/>
    </xf>
    <xf numFmtId="0" fontId="10" fillId="0" borderId="25" xfId="0" applyFont="1" applyBorder="1" applyAlignment="1"/>
    <xf numFmtId="0" fontId="0" fillId="0" borderId="26" xfId="0" applyBorder="1" applyAlignment="1">
      <alignment horizontal="center"/>
    </xf>
    <xf numFmtId="0" fontId="19" fillId="0" borderId="27" xfId="0" applyFont="1" applyBorder="1" applyAlignment="1">
      <alignment vertical="center"/>
    </xf>
    <xf numFmtId="0" fontId="19" fillId="0" borderId="28" xfId="0" applyFont="1" applyBorder="1" applyAlignment="1">
      <alignment horizontal="center" vertical="center"/>
    </xf>
    <xf numFmtId="0" fontId="19" fillId="0" borderId="29" xfId="0" applyFont="1" applyBorder="1" applyAlignment="1">
      <alignment horizontal="center" vertical="center"/>
    </xf>
    <xf numFmtId="0" fontId="19" fillId="0" borderId="30" xfId="0" applyFont="1" applyBorder="1" applyAlignment="1">
      <alignment horizontal="center" vertical="center"/>
    </xf>
    <xf numFmtId="0" fontId="19" fillId="0" borderId="31" xfId="0" applyFont="1" applyBorder="1" applyAlignment="1">
      <alignment horizontal="center" vertical="center"/>
    </xf>
    <xf numFmtId="0" fontId="19" fillId="0" borderId="30" xfId="0" applyFont="1" applyFill="1" applyBorder="1" applyAlignment="1">
      <alignment horizontal="center" vertical="center"/>
    </xf>
    <xf numFmtId="0" fontId="19" fillId="0" borderId="29" xfId="0" applyFont="1" applyFill="1" applyBorder="1" applyAlignment="1">
      <alignment horizontal="center" vertical="center"/>
    </xf>
    <xf numFmtId="0" fontId="19" fillId="0" borderId="32" xfId="0" applyFont="1" applyBorder="1" applyAlignment="1">
      <alignment horizontal="center" vertical="center"/>
    </xf>
    <xf numFmtId="0" fontId="19" fillId="0" borderId="33" xfId="0" applyFont="1" applyBorder="1" applyAlignment="1">
      <alignment horizontal="center" vertical="center"/>
    </xf>
    <xf numFmtId="0" fontId="19" fillId="0" borderId="34" xfId="0" applyFont="1" applyBorder="1" applyAlignment="1">
      <alignment horizontal="center" vertical="center"/>
    </xf>
    <xf numFmtId="0" fontId="10" fillId="0" borderId="35" xfId="0" applyFont="1" applyBorder="1"/>
    <xf numFmtId="0" fontId="50" fillId="0" borderId="36" xfId="0" applyFont="1" applyBorder="1" applyAlignment="1">
      <alignment horizontal="center"/>
    </xf>
    <xf numFmtId="0" fontId="50" fillId="0" borderId="37" xfId="0" applyFont="1" applyBorder="1" applyAlignment="1">
      <alignment horizontal="center"/>
    </xf>
    <xf numFmtId="0" fontId="10" fillId="4" borderId="38" xfId="0" applyFont="1" applyFill="1" applyBorder="1"/>
    <xf numFmtId="0" fontId="48" fillId="4" borderId="36" xfId="0" applyFont="1" applyFill="1" applyBorder="1" applyAlignment="1">
      <alignment horizontal="center"/>
    </xf>
    <xf numFmtId="0" fontId="48" fillId="4" borderId="37" xfId="0" applyFont="1" applyFill="1" applyBorder="1" applyAlignment="1">
      <alignment horizontal="center"/>
    </xf>
    <xf numFmtId="0" fontId="10" fillId="0" borderId="38" xfId="0" applyFont="1" applyBorder="1"/>
    <xf numFmtId="0" fontId="10" fillId="0" borderId="39" xfId="0" applyFont="1" applyBorder="1"/>
    <xf numFmtId="0" fontId="50" fillId="0" borderId="40" xfId="0" applyFont="1" applyBorder="1" applyAlignment="1">
      <alignment horizontal="center"/>
    </xf>
    <xf numFmtId="0" fontId="50" fillId="0" borderId="41" xfId="0" applyFont="1" applyBorder="1" applyAlignment="1">
      <alignment horizontal="center"/>
    </xf>
    <xf numFmtId="0" fontId="50" fillId="4" borderId="37" xfId="0" applyFont="1" applyFill="1" applyBorder="1" applyAlignment="1">
      <alignment horizontal="center"/>
    </xf>
    <xf numFmtId="0" fontId="10" fillId="0" borderId="9" xfId="0" applyFont="1" applyBorder="1" applyAlignment="1">
      <alignment vertical="center"/>
    </xf>
    <xf numFmtId="0" fontId="50" fillId="0" borderId="42" xfId="0" applyFont="1" applyBorder="1" applyAlignment="1">
      <alignment horizontal="center" vertical="center"/>
    </xf>
    <xf numFmtId="0" fontId="10" fillId="0" borderId="26" xfId="0" applyFont="1" applyBorder="1"/>
    <xf numFmtId="0" fontId="0" fillId="0" borderId="0" xfId="0" applyAlignment="1">
      <alignment horizontal="center"/>
    </xf>
    <xf numFmtId="0" fontId="20" fillId="0" borderId="0" xfId="0" applyFont="1" applyAlignment="1"/>
    <xf numFmtId="0" fontId="20" fillId="0" borderId="0" xfId="0" applyFont="1" applyAlignment="1">
      <alignment horizontal="center"/>
    </xf>
    <xf numFmtId="0" fontId="0" fillId="0" borderId="0" xfId="0" applyBorder="1" applyAlignment="1">
      <alignment horizontal="center"/>
    </xf>
    <xf numFmtId="0" fontId="19" fillId="0" borderId="0" xfId="0" applyFont="1" applyAlignment="1">
      <alignment horizontal="left"/>
    </xf>
    <xf numFmtId="164" fontId="16" fillId="0" borderId="18" xfId="0" applyNumberFormat="1" applyFont="1" applyFill="1" applyBorder="1" applyAlignment="1">
      <alignment horizontal="center" vertical="center"/>
    </xf>
    <xf numFmtId="0" fontId="23" fillId="0" borderId="14" xfId="0" applyFont="1" applyFill="1" applyBorder="1" applyAlignment="1">
      <alignment vertical="center"/>
    </xf>
    <xf numFmtId="166" fontId="23" fillId="0" borderId="3" xfId="0" applyNumberFormat="1" applyFont="1" applyFill="1" applyBorder="1" applyAlignment="1">
      <alignment horizontal="center" vertical="center"/>
    </xf>
    <xf numFmtId="165" fontId="52" fillId="0" borderId="0" xfId="0" applyNumberFormat="1" applyFont="1" applyFill="1" applyBorder="1" applyAlignment="1">
      <alignment vertical="center"/>
    </xf>
    <xf numFmtId="0" fontId="12" fillId="0" borderId="5" xfId="0" applyFont="1" applyFill="1" applyBorder="1" applyAlignment="1">
      <alignment vertical="center"/>
    </xf>
    <xf numFmtId="0" fontId="9" fillId="0" borderId="0" xfId="0" applyFont="1" applyFill="1" applyBorder="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center"/>
    </xf>
    <xf numFmtId="0" fontId="16" fillId="5" borderId="0" xfId="0" applyFont="1" applyFill="1" applyBorder="1" applyAlignment="1">
      <alignment horizontal="center" vertical="center"/>
    </xf>
    <xf numFmtId="0" fontId="56" fillId="0" borderId="0" xfId="0" applyFont="1" applyFill="1"/>
    <xf numFmtId="0" fontId="24" fillId="5" borderId="0" xfId="0" applyFont="1" applyFill="1" applyBorder="1" applyAlignment="1">
      <alignment vertical="center"/>
    </xf>
    <xf numFmtId="0" fontId="24" fillId="5" borderId="0" xfId="0" applyFont="1" applyFill="1" applyAlignment="1">
      <alignment vertical="center"/>
    </xf>
    <xf numFmtId="164" fontId="16" fillId="0" borderId="5" xfId="0" applyNumberFormat="1" applyFont="1" applyFill="1" applyBorder="1" applyAlignment="1">
      <alignment horizontal="center" vertical="center"/>
    </xf>
    <xf numFmtId="0" fontId="37" fillId="0" borderId="0" xfId="0" applyFont="1" applyFill="1" applyBorder="1" applyAlignment="1">
      <alignment vertical="center"/>
    </xf>
    <xf numFmtId="0" fontId="16" fillId="0" borderId="0" xfId="0" applyFont="1" applyFill="1" applyAlignment="1">
      <alignment horizontal="center" vertical="center"/>
    </xf>
    <xf numFmtId="0" fontId="12" fillId="5" borderId="4" xfId="0" applyFont="1" applyFill="1" applyBorder="1" applyAlignment="1">
      <alignment horizontal="center" vertical="center"/>
    </xf>
    <xf numFmtId="0" fontId="46" fillId="5" borderId="4" xfId="0" applyFont="1" applyFill="1" applyBorder="1" applyAlignment="1">
      <alignment horizontal="center" vertical="center"/>
    </xf>
    <xf numFmtId="0" fontId="16" fillId="0" borderId="19" xfId="0" applyFont="1" applyFill="1" applyBorder="1" applyAlignment="1">
      <alignment vertical="center"/>
    </xf>
    <xf numFmtId="0" fontId="22" fillId="0" borderId="18" xfId="0" quotePrefix="1" applyFont="1" applyFill="1" applyBorder="1" applyAlignment="1">
      <alignment horizontal="left" vertical="center"/>
    </xf>
    <xf numFmtId="0" fontId="12" fillId="0" borderId="3" xfId="0" applyFont="1" applyFill="1" applyBorder="1" applyAlignment="1">
      <alignment horizontal="center" vertical="center"/>
    </xf>
    <xf numFmtId="0" fontId="12" fillId="0" borderId="0" xfId="0" applyFont="1" applyFill="1" applyAlignment="1">
      <alignment vertical="center"/>
    </xf>
    <xf numFmtId="0" fontId="32" fillId="0" borderId="0" xfId="0" applyFont="1" applyFill="1" applyBorder="1" applyAlignment="1">
      <alignment horizontal="centerContinuous" vertical="center"/>
    </xf>
    <xf numFmtId="0" fontId="9" fillId="0" borderId="11" xfId="0" applyFont="1" applyFill="1" applyBorder="1" applyAlignment="1">
      <alignment vertical="center"/>
    </xf>
    <xf numFmtId="0" fontId="24" fillId="0" borderId="5" xfId="0" applyFont="1" applyFill="1" applyBorder="1" applyAlignment="1">
      <alignment vertical="center"/>
    </xf>
    <xf numFmtId="0" fontId="12" fillId="0" borderId="11" xfId="0" applyFont="1" applyFill="1" applyBorder="1" applyAlignment="1">
      <alignment vertical="center"/>
    </xf>
    <xf numFmtId="0" fontId="12" fillId="0" borderId="0" xfId="0" quotePrefix="1" applyFont="1" applyFill="1" applyBorder="1" applyAlignment="1">
      <alignment vertical="center"/>
    </xf>
    <xf numFmtId="0" fontId="12" fillId="0" borderId="47" xfId="0" applyFont="1" applyFill="1" applyBorder="1" applyAlignment="1">
      <alignment vertical="center"/>
    </xf>
    <xf numFmtId="49" fontId="12" fillId="0" borderId="0" xfId="0" applyNumberFormat="1" applyFont="1" applyFill="1" applyBorder="1" applyAlignment="1">
      <alignment vertical="center"/>
    </xf>
    <xf numFmtId="0" fontId="12" fillId="0" borderId="0" xfId="0" applyFont="1" applyFill="1" applyBorder="1" applyAlignment="1">
      <alignment horizontal="right" vertical="center"/>
    </xf>
    <xf numFmtId="0" fontId="12" fillId="0" borderId="48" xfId="0" applyFont="1" applyFill="1" applyBorder="1" applyAlignment="1">
      <alignment vertical="center"/>
    </xf>
    <xf numFmtId="22" fontId="12" fillId="0" borderId="0" xfId="0" applyNumberFormat="1" applyFont="1" applyFill="1" applyBorder="1" applyAlignment="1">
      <alignment horizontal="left" vertical="center"/>
    </xf>
    <xf numFmtId="0" fontId="23" fillId="0" borderId="5" xfId="0" applyFont="1" applyFill="1" applyBorder="1" applyAlignment="1">
      <alignment vertical="center"/>
    </xf>
    <xf numFmtId="0" fontId="34" fillId="0" borderId="16" xfId="0" applyFont="1" applyFill="1" applyBorder="1" applyAlignment="1">
      <alignment vertical="center"/>
    </xf>
    <xf numFmtId="0" fontId="35" fillId="0" borderId="0" xfId="0" applyNumberFormat="1" applyFont="1" applyFill="1" applyBorder="1" applyAlignment="1">
      <alignment horizontal="left" vertical="center"/>
    </xf>
    <xf numFmtId="165" fontId="25" fillId="0" borderId="7" xfId="0" applyNumberFormat="1" applyFont="1" applyFill="1" applyBorder="1" applyAlignment="1">
      <alignment horizontal="center" vertical="center"/>
    </xf>
    <xf numFmtId="0" fontId="34" fillId="0" borderId="0" xfId="0" applyFont="1" applyFill="1" applyBorder="1" applyAlignment="1">
      <alignment vertical="center"/>
    </xf>
    <xf numFmtId="1" fontId="49" fillId="0" borderId="49" xfId="0" applyNumberFormat="1" applyFont="1" applyBorder="1" applyAlignment="1">
      <alignment horizontal="center"/>
    </xf>
    <xf numFmtId="1" fontId="51" fillId="0" borderId="50" xfId="0" applyNumberFormat="1" applyFont="1" applyBorder="1" applyAlignment="1">
      <alignment horizontal="center" vertical="center"/>
    </xf>
    <xf numFmtId="0" fontId="57" fillId="0" borderId="51" xfId="0" applyFont="1" applyBorder="1" applyAlignment="1">
      <alignment horizontal="center"/>
    </xf>
    <xf numFmtId="16" fontId="57" fillId="0" borderId="52" xfId="0" applyNumberFormat="1" applyFont="1" applyBorder="1" applyAlignment="1">
      <alignment horizontal="center"/>
    </xf>
    <xf numFmtId="0" fontId="24" fillId="5" borderId="3" xfId="0" applyFont="1" applyFill="1" applyBorder="1" applyAlignment="1">
      <alignment horizontal="center" vertical="center"/>
    </xf>
    <xf numFmtId="0" fontId="41" fillId="0" borderId="0" xfId="0" applyFont="1" applyFill="1" applyBorder="1" applyAlignment="1">
      <alignment vertical="center"/>
    </xf>
    <xf numFmtId="0" fontId="57" fillId="0" borderId="53" xfId="0" applyFont="1" applyBorder="1" applyAlignment="1">
      <alignment horizontal="center"/>
    </xf>
    <xf numFmtId="14" fontId="12" fillId="0" borderId="0" xfId="0" applyNumberFormat="1" applyFont="1" applyFill="1" applyBorder="1" applyAlignment="1">
      <alignment horizontal="centerContinuous" vertical="center"/>
    </xf>
    <xf numFmtId="0" fontId="12" fillId="0" borderId="0" xfId="0" applyFont="1" applyFill="1" applyAlignment="1">
      <alignment horizontal="center"/>
    </xf>
    <xf numFmtId="0" fontId="12" fillId="0" borderId="5" xfId="0" applyFont="1" applyFill="1" applyBorder="1" applyAlignment="1">
      <alignment horizontal="left" vertical="center"/>
    </xf>
    <xf numFmtId="165" fontId="25" fillId="0" borderId="4" xfId="0" applyNumberFormat="1" applyFont="1" applyFill="1" applyBorder="1" applyAlignment="1">
      <alignment horizontal="center" vertical="center"/>
    </xf>
    <xf numFmtId="0" fontId="55" fillId="0" borderId="0" xfId="0" applyFont="1" applyBorder="1" applyAlignment="1">
      <alignment vertical="center" wrapText="1"/>
    </xf>
    <xf numFmtId="0" fontId="23" fillId="0" borderId="12" xfId="0" applyFont="1" applyFill="1" applyBorder="1" applyAlignment="1">
      <alignment vertical="center"/>
    </xf>
    <xf numFmtId="181" fontId="16" fillId="0" borderId="19" xfId="0" applyNumberFormat="1" applyFont="1" applyFill="1" applyBorder="1" applyAlignment="1">
      <alignment horizontal="center" vertical="center"/>
    </xf>
    <xf numFmtId="164" fontId="16" fillId="0" borderId="11" xfId="0" applyNumberFormat="1" applyFont="1" applyFill="1" applyBorder="1" applyAlignment="1">
      <alignment horizontal="center" vertical="center"/>
    </xf>
    <xf numFmtId="166" fontId="16" fillId="0" borderId="5" xfId="0" applyNumberFormat="1" applyFont="1" applyFill="1" applyBorder="1" applyAlignment="1">
      <alignment horizontal="center" vertical="center"/>
    </xf>
    <xf numFmtId="0" fontId="57" fillId="0" borderId="54" xfId="0" applyFont="1" applyBorder="1" applyAlignment="1">
      <alignment horizontal="center"/>
    </xf>
    <xf numFmtId="16" fontId="57" fillId="0" borderId="55" xfId="0" applyNumberFormat="1" applyFont="1" applyBorder="1" applyAlignment="1">
      <alignment horizontal="center"/>
    </xf>
    <xf numFmtId="165" fontId="25" fillId="5" borderId="5" xfId="0" applyNumberFormat="1" applyFont="1" applyFill="1" applyBorder="1" applyAlignment="1">
      <alignment horizontal="center" vertical="center"/>
    </xf>
    <xf numFmtId="0" fontId="46" fillId="0" borderId="4" xfId="0" applyFont="1" applyFill="1" applyBorder="1" applyAlignment="1">
      <alignment horizontal="center" vertical="center"/>
    </xf>
    <xf numFmtId="0" fontId="19" fillId="0" borderId="31" xfId="0" applyFont="1" applyFill="1" applyBorder="1" applyAlignment="1">
      <alignment horizontal="center" vertical="center"/>
    </xf>
    <xf numFmtId="0" fontId="19" fillId="5" borderId="57" xfId="0" applyFont="1" applyFill="1" applyBorder="1" applyAlignment="1">
      <alignment horizontal="center" vertical="center"/>
    </xf>
    <xf numFmtId="0" fontId="37" fillId="0" borderId="9" xfId="0" applyFont="1" applyFill="1" applyBorder="1" applyAlignment="1">
      <alignment vertical="center"/>
    </xf>
    <xf numFmtId="0" fontId="37" fillId="0" borderId="7" xfId="0" applyFont="1" applyFill="1" applyBorder="1" applyAlignment="1">
      <alignment vertical="center"/>
    </xf>
    <xf numFmtId="0" fontId="19" fillId="0" borderId="59" xfId="0" applyFont="1" applyBorder="1" applyAlignment="1">
      <alignment horizontal="center" vertical="center"/>
    </xf>
    <xf numFmtId="1" fontId="49" fillId="0" borderId="36" xfId="0" applyNumberFormat="1" applyFont="1" applyBorder="1" applyAlignment="1">
      <alignment horizontal="center"/>
    </xf>
    <xf numFmtId="0" fontId="48" fillId="0" borderId="0" xfId="0" applyNumberFormat="1" applyFont="1" applyAlignment="1">
      <alignment horizontal="center"/>
    </xf>
    <xf numFmtId="0" fontId="48" fillId="0" borderId="17" xfId="0" applyNumberFormat="1" applyFont="1" applyBorder="1" applyAlignment="1">
      <alignment horizontal="center"/>
    </xf>
    <xf numFmtId="0" fontId="48" fillId="0" borderId="0" xfId="0" applyNumberFormat="1" applyFont="1" applyFill="1" applyAlignment="1">
      <alignment horizontal="center"/>
    </xf>
    <xf numFmtId="0" fontId="0" fillId="0" borderId="7" xfId="0" applyNumberFormat="1" applyBorder="1" applyAlignment="1">
      <alignment horizontal="center" vertical="center"/>
    </xf>
    <xf numFmtId="0" fontId="0" fillId="0" borderId="7" xfId="0" applyNumberFormat="1" applyBorder="1" applyAlignment="1">
      <alignment vertical="center"/>
    </xf>
    <xf numFmtId="0" fontId="20" fillId="0" borderId="7" xfId="0" applyNumberFormat="1" applyFont="1" applyBorder="1" applyAlignment="1">
      <alignment vertical="center"/>
    </xf>
    <xf numFmtId="0" fontId="20" fillId="5" borderId="60" xfId="0" applyNumberFormat="1" applyFont="1" applyFill="1" applyBorder="1" applyAlignment="1">
      <alignment horizontal="center" vertical="center"/>
    </xf>
    <xf numFmtId="0" fontId="51" fillId="0" borderId="7" xfId="0" applyNumberFormat="1" applyFont="1" applyBorder="1" applyAlignment="1">
      <alignment horizontal="center" vertical="center"/>
    </xf>
    <xf numFmtId="0" fontId="51" fillId="0" borderId="7" xfId="0" applyNumberFormat="1" applyFont="1" applyBorder="1" applyAlignment="1">
      <alignment horizontal="right" vertical="center"/>
    </xf>
    <xf numFmtId="1" fontId="48" fillId="0" borderId="0" xfId="0" applyNumberFormat="1" applyFont="1" applyAlignment="1">
      <alignment horizontal="center"/>
    </xf>
    <xf numFmtId="1" fontId="48" fillId="0" borderId="61" xfId="0" applyNumberFormat="1" applyFont="1" applyBorder="1" applyAlignment="1">
      <alignment horizontal="center"/>
    </xf>
    <xf numFmtId="1" fontId="48" fillId="0" borderId="17" xfId="0" applyNumberFormat="1" applyFont="1" applyBorder="1" applyAlignment="1">
      <alignment horizontal="center"/>
    </xf>
    <xf numFmtId="1" fontId="48" fillId="0" borderId="61" xfId="0" applyNumberFormat="1" applyFont="1" applyFill="1" applyBorder="1" applyAlignment="1">
      <alignment horizontal="center"/>
    </xf>
    <xf numFmtId="1" fontId="48" fillId="0" borderId="17" xfId="0" applyNumberFormat="1" applyFont="1" applyFill="1" applyBorder="1" applyAlignment="1">
      <alignment horizontal="center"/>
    </xf>
    <xf numFmtId="1" fontId="48" fillId="0" borderId="0" xfId="0" applyNumberFormat="1" applyFont="1" applyBorder="1" applyAlignment="1">
      <alignment horizontal="center"/>
    </xf>
    <xf numFmtId="1" fontId="48" fillId="0" borderId="62" xfId="0" applyNumberFormat="1" applyFont="1" applyBorder="1" applyAlignment="1">
      <alignment horizontal="center"/>
    </xf>
    <xf numFmtId="1" fontId="48" fillId="0" borderId="63" xfId="0" applyNumberFormat="1" applyFont="1" applyBorder="1" applyAlignment="1">
      <alignment horizontal="center"/>
    </xf>
    <xf numFmtId="1" fontId="48" fillId="0" borderId="64" xfId="0" applyNumberFormat="1" applyFont="1" applyBorder="1" applyAlignment="1">
      <alignment horizontal="center"/>
    </xf>
    <xf numFmtId="1" fontId="48" fillId="4" borderId="0" xfId="0" applyNumberFormat="1" applyFont="1" applyFill="1" applyAlignment="1">
      <alignment horizontal="center"/>
    </xf>
    <xf numFmtId="1" fontId="48" fillId="4" borderId="61" xfId="0" applyNumberFormat="1" applyFont="1" applyFill="1" applyBorder="1" applyAlignment="1">
      <alignment horizontal="center"/>
    </xf>
    <xf numFmtId="1" fontId="48" fillId="4" borderId="17" xfId="0" applyNumberFormat="1" applyFont="1" applyFill="1" applyBorder="1" applyAlignment="1">
      <alignment horizontal="center"/>
    </xf>
    <xf numFmtId="1" fontId="42" fillId="4" borderId="61" xfId="0" applyNumberFormat="1" applyFont="1" applyFill="1" applyBorder="1" applyAlignment="1">
      <alignment horizontal="center" vertical="center"/>
    </xf>
    <xf numFmtId="1" fontId="48" fillId="4" borderId="0" xfId="0" applyNumberFormat="1" applyFont="1" applyFill="1" applyBorder="1" applyAlignment="1">
      <alignment horizontal="center"/>
    </xf>
    <xf numFmtId="1" fontId="48" fillId="4" borderId="65" xfId="0" applyNumberFormat="1" applyFont="1" applyFill="1" applyBorder="1" applyAlignment="1">
      <alignment horizontal="center"/>
    </xf>
    <xf numFmtId="1" fontId="48" fillId="4" borderId="63" xfId="0" applyNumberFormat="1" applyFont="1" applyFill="1" applyBorder="1" applyAlignment="1">
      <alignment horizontal="center"/>
    </xf>
    <xf numFmtId="1" fontId="48" fillId="4" borderId="64" xfId="0" applyNumberFormat="1" applyFont="1" applyFill="1" applyBorder="1" applyAlignment="1">
      <alignment horizontal="center"/>
    </xf>
    <xf numFmtId="1" fontId="48" fillId="0" borderId="61" xfId="0" applyNumberFormat="1" applyFont="1" applyBorder="1" applyAlignment="1">
      <alignment horizontal="center" wrapText="1"/>
    </xf>
    <xf numFmtId="1" fontId="48" fillId="0" borderId="0" xfId="0" applyNumberFormat="1" applyFont="1" applyFill="1" applyAlignment="1">
      <alignment horizontal="center"/>
    </xf>
    <xf numFmtId="1" fontId="48" fillId="0" borderId="65" xfId="0" applyNumberFormat="1" applyFont="1" applyBorder="1" applyAlignment="1">
      <alignment horizontal="center"/>
    </xf>
    <xf numFmtId="1" fontId="48" fillId="0" borderId="63" xfId="0" applyNumberFormat="1" applyFont="1" applyBorder="1" applyAlignment="1">
      <alignment horizontal="center" wrapText="1"/>
    </xf>
    <xf numFmtId="1" fontId="48" fillId="0" borderId="4" xfId="0" applyNumberFormat="1" applyFont="1" applyBorder="1" applyAlignment="1">
      <alignment horizontal="center"/>
    </xf>
    <xf numFmtId="1" fontId="48" fillId="0" borderId="66" xfId="0" applyNumberFormat="1" applyFont="1" applyBorder="1" applyAlignment="1">
      <alignment horizontal="center"/>
    </xf>
    <xf numFmtId="1" fontId="48" fillId="0" borderId="67" xfId="0" applyNumberFormat="1" applyFont="1" applyBorder="1" applyAlignment="1">
      <alignment horizontal="center"/>
    </xf>
    <xf numFmtId="1" fontId="48" fillId="0" borderId="68" xfId="0" applyNumberFormat="1" applyFont="1" applyBorder="1" applyAlignment="1">
      <alignment horizontal="center"/>
    </xf>
    <xf numFmtId="1" fontId="48" fillId="0" borderId="69" xfId="0" applyNumberFormat="1" applyFont="1" applyBorder="1" applyAlignment="1">
      <alignment horizontal="center"/>
    </xf>
    <xf numFmtId="1" fontId="48" fillId="0" borderId="70" xfId="0" applyNumberFormat="1" applyFont="1" applyBorder="1" applyAlignment="1">
      <alignment horizontal="center"/>
    </xf>
    <xf numFmtId="1" fontId="48" fillId="0" borderId="0" xfId="0" applyNumberFormat="1" applyFont="1" applyAlignment="1">
      <alignment horizontal="center" wrapText="1"/>
    </xf>
    <xf numFmtId="165" fontId="37" fillId="5" borderId="22" xfId="0" applyNumberFormat="1" applyFont="1" applyFill="1" applyBorder="1" applyAlignment="1">
      <alignment horizontal="center" vertical="center"/>
    </xf>
    <xf numFmtId="0" fontId="37" fillId="0" borderId="25" xfId="0" applyFont="1" applyFill="1" applyBorder="1" applyAlignment="1">
      <alignment vertical="center"/>
    </xf>
    <xf numFmtId="0" fontId="37" fillId="0" borderId="26" xfId="0" applyFont="1" applyFill="1" applyBorder="1" applyAlignment="1">
      <alignment vertical="center"/>
    </xf>
    <xf numFmtId="0" fontId="37" fillId="0" borderId="71" xfId="0" applyFont="1" applyFill="1" applyBorder="1" applyAlignment="1">
      <alignment vertical="center"/>
    </xf>
    <xf numFmtId="0" fontId="25" fillId="0" borderId="13" xfId="0" applyFont="1" applyFill="1" applyBorder="1" applyAlignment="1">
      <alignment vertical="center"/>
    </xf>
    <xf numFmtId="0" fontId="19" fillId="0" borderId="72" xfId="0" applyFont="1" applyBorder="1" applyAlignment="1">
      <alignment horizontal="center" vertical="center"/>
    </xf>
    <xf numFmtId="0" fontId="20" fillId="0" borderId="0" xfId="0" applyFont="1" applyAlignment="1">
      <alignment horizontal="left"/>
    </xf>
    <xf numFmtId="0" fontId="51" fillId="0" borderId="0" xfId="0" applyFont="1" applyAlignment="1">
      <alignment horizontal="left"/>
    </xf>
    <xf numFmtId="0" fontId="59" fillId="4" borderId="37" xfId="0" applyFont="1" applyFill="1" applyBorder="1" applyAlignment="1">
      <alignment horizontal="center"/>
    </xf>
    <xf numFmtId="1" fontId="50" fillId="0" borderId="37" xfId="0" applyNumberFormat="1" applyFont="1" applyBorder="1" applyAlignment="1">
      <alignment horizontal="center"/>
    </xf>
    <xf numFmtId="0" fontId="25" fillId="5" borderId="12" xfId="0" applyFont="1" applyFill="1" applyBorder="1" applyAlignment="1">
      <alignment horizontal="center" vertical="center"/>
    </xf>
    <xf numFmtId="0" fontId="16" fillId="5" borderId="0" xfId="0" quotePrefix="1" applyFont="1" applyFill="1" applyBorder="1" applyAlignment="1">
      <alignment vertical="center"/>
    </xf>
    <xf numFmtId="0" fontId="24" fillId="7" borderId="7" xfId="0" applyFont="1" applyFill="1" applyBorder="1" applyAlignment="1">
      <alignment vertical="center"/>
    </xf>
    <xf numFmtId="0" fontId="12" fillId="0" borderId="7" xfId="0" applyFont="1" applyFill="1" applyBorder="1" applyAlignment="1">
      <alignment vertical="center"/>
    </xf>
    <xf numFmtId="0" fontId="24" fillId="8" borderId="0" xfId="0" applyFont="1" applyFill="1" applyAlignment="1">
      <alignment vertical="center"/>
    </xf>
    <xf numFmtId="0" fontId="25" fillId="0" borderId="8" xfId="0" applyFont="1" applyFill="1" applyBorder="1" applyAlignment="1">
      <alignment horizontal="right" vertical="center"/>
    </xf>
    <xf numFmtId="0" fontId="50" fillId="6" borderId="37" xfId="0" applyFont="1" applyFill="1" applyBorder="1" applyAlignment="1">
      <alignment horizontal="center"/>
    </xf>
    <xf numFmtId="0" fontId="10" fillId="0" borderId="25" xfId="0" applyFont="1" applyBorder="1" applyAlignment="1">
      <alignment horizontal="left"/>
    </xf>
    <xf numFmtId="0" fontId="19" fillId="0" borderId="27" xfId="0" applyFont="1" applyBorder="1" applyAlignment="1">
      <alignment horizontal="left" vertical="center"/>
    </xf>
    <xf numFmtId="0" fontId="10" fillId="0" borderId="35" xfId="0" applyFont="1" applyBorder="1" applyAlignment="1">
      <alignment horizontal="left"/>
    </xf>
    <xf numFmtId="0" fontId="10" fillId="4" borderId="38" xfId="0" applyFont="1" applyFill="1" applyBorder="1" applyAlignment="1">
      <alignment horizontal="left"/>
    </xf>
    <xf numFmtId="0" fontId="10" fillId="0" borderId="38" xfId="0" applyFont="1" applyBorder="1" applyAlignment="1">
      <alignment horizontal="left"/>
    </xf>
    <xf numFmtId="0" fontId="10" fillId="0" borderId="39" xfId="0" applyFont="1" applyBorder="1" applyAlignment="1">
      <alignment horizontal="left"/>
    </xf>
    <xf numFmtId="0" fontId="10" fillId="0" borderId="9" xfId="0" applyFont="1" applyBorder="1" applyAlignment="1">
      <alignment horizontal="left" vertical="center"/>
    </xf>
    <xf numFmtId="0" fontId="10" fillId="0" borderId="26" xfId="0" applyFont="1" applyBorder="1" applyAlignment="1">
      <alignment horizontal="left"/>
    </xf>
    <xf numFmtId="0" fontId="10" fillId="0" borderId="0" xfId="0" applyFont="1" applyBorder="1" applyAlignment="1">
      <alignment horizontal="left"/>
    </xf>
    <xf numFmtId="0" fontId="0" fillId="0" borderId="0" xfId="0" applyAlignment="1">
      <alignment horizontal="left"/>
    </xf>
    <xf numFmtId="0" fontId="41" fillId="0" borderId="43" xfId="0" applyFont="1" applyFill="1" applyBorder="1" applyAlignment="1">
      <alignment vertical="center"/>
    </xf>
    <xf numFmtId="0" fontId="5" fillId="0" borderId="0" xfId="41" applyAlignment="1">
      <alignment vertical="top" wrapText="1"/>
    </xf>
    <xf numFmtId="0" fontId="5" fillId="0" borderId="0" xfId="41" applyAlignment="1"/>
    <xf numFmtId="0" fontId="63" fillId="0" borderId="0" xfId="41" applyFont="1" applyAlignment="1">
      <alignment vertical="center" wrapText="1"/>
    </xf>
    <xf numFmtId="0" fontId="68" fillId="0" borderId="13" xfId="0" quotePrefix="1" applyFont="1" applyFill="1" applyBorder="1" applyAlignment="1">
      <alignment horizontal="center" vertical="center"/>
    </xf>
    <xf numFmtId="0" fontId="16" fillId="5" borderId="0" xfId="0" applyFont="1" applyFill="1" applyBorder="1" applyAlignment="1">
      <alignment vertical="center"/>
    </xf>
    <xf numFmtId="0" fontId="12" fillId="0" borderId="5" xfId="0" applyFont="1" applyFill="1" applyBorder="1" applyAlignment="1">
      <alignment vertical="center"/>
    </xf>
    <xf numFmtId="0" fontId="12" fillId="0" borderId="0" xfId="0" applyFont="1" applyFill="1" applyAlignment="1">
      <alignment vertical="center"/>
    </xf>
    <xf numFmtId="0" fontId="12" fillId="0" borderId="0" xfId="0" applyFont="1" applyFill="1" applyBorder="1" applyAlignment="1">
      <alignment horizontal="center" vertical="center"/>
    </xf>
    <xf numFmtId="0" fontId="24" fillId="0" borderId="0" xfId="0" applyFont="1" applyFill="1"/>
    <xf numFmtId="0" fontId="24" fillId="0" borderId="0" xfId="0" applyFont="1" applyFill="1" applyBorder="1" applyAlignment="1">
      <alignment vertical="center"/>
    </xf>
    <xf numFmtId="0" fontId="24" fillId="0" borderId="0" xfId="0" applyFont="1" applyFill="1" applyAlignment="1">
      <alignment vertical="center"/>
    </xf>
    <xf numFmtId="0" fontId="12" fillId="0" borderId="6" xfId="0" applyFont="1" applyFill="1" applyBorder="1" applyAlignment="1">
      <alignment horizontal="center" vertical="center"/>
    </xf>
    <xf numFmtId="0" fontId="12" fillId="0" borderId="11" xfId="0" applyFont="1" applyFill="1" applyBorder="1" applyAlignment="1">
      <alignment vertical="center"/>
    </xf>
    <xf numFmtId="0" fontId="28" fillId="0" borderId="0" xfId="0" applyFont="1" applyFill="1" applyAlignment="1">
      <alignment vertical="center"/>
    </xf>
    <xf numFmtId="0" fontId="24" fillId="0" borderId="0" xfId="0" applyFont="1" applyFill="1" applyBorder="1" applyAlignment="1">
      <alignment horizontal="center" vertical="center"/>
    </xf>
    <xf numFmtId="164" fontId="12" fillId="0" borderId="19" xfId="0" applyNumberFormat="1" applyFont="1" applyFill="1" applyBorder="1" applyAlignment="1">
      <alignment horizontal="center" vertical="center"/>
    </xf>
    <xf numFmtId="0" fontId="12" fillId="5" borderId="0" xfId="0" applyFont="1" applyFill="1" applyBorder="1" applyAlignment="1">
      <alignment horizontal="center" vertical="center"/>
    </xf>
    <xf numFmtId="0" fontId="24" fillId="5" borderId="0" xfId="0" applyFont="1" applyFill="1" applyBorder="1" applyAlignment="1">
      <alignment vertical="center"/>
    </xf>
    <xf numFmtId="164" fontId="12" fillId="0" borderId="5" xfId="0" applyNumberFormat="1" applyFont="1" applyFill="1" applyBorder="1" applyAlignment="1">
      <alignment horizontal="center" vertical="center"/>
    </xf>
    <xf numFmtId="0" fontId="22" fillId="0" borderId="19" xfId="0" quotePrefix="1" applyFont="1" applyFill="1" applyBorder="1" applyAlignment="1">
      <alignment vertical="center"/>
    </xf>
    <xf numFmtId="0" fontId="0" fillId="0" borderId="0" xfId="0" applyAlignment="1">
      <alignment horizontal="left" vertical="top" wrapText="1"/>
    </xf>
    <xf numFmtId="0" fontId="57" fillId="0" borderId="51" xfId="0" applyFont="1" applyBorder="1" applyAlignment="1">
      <alignment horizontal="center"/>
    </xf>
    <xf numFmtId="16" fontId="57" fillId="0" borderId="52" xfId="0" applyNumberFormat="1" applyFont="1" applyBorder="1" applyAlignment="1">
      <alignment horizontal="center"/>
    </xf>
    <xf numFmtId="0" fontId="42" fillId="0" borderId="0" xfId="0" applyFont="1" applyFill="1" applyBorder="1" applyAlignment="1">
      <alignment horizontal="center" vertical="center"/>
    </xf>
    <xf numFmtId="0" fontId="57" fillId="0" borderId="54" xfId="0" applyFont="1" applyBorder="1" applyAlignment="1">
      <alignment horizontal="center"/>
    </xf>
    <xf numFmtId="16" fontId="57" fillId="0" borderId="55" xfId="0" applyNumberFormat="1" applyFont="1" applyBorder="1" applyAlignment="1">
      <alignment horizontal="center"/>
    </xf>
    <xf numFmtId="0" fontId="22" fillId="5" borderId="19" xfId="0" quotePrefix="1" applyFont="1" applyFill="1" applyBorder="1" applyAlignment="1">
      <alignment vertical="center"/>
    </xf>
    <xf numFmtId="0" fontId="46" fillId="0" borderId="0" xfId="0" applyFont="1" applyFill="1" applyBorder="1" applyAlignment="1">
      <alignment horizontal="center" vertical="center"/>
    </xf>
    <xf numFmtId="0" fontId="58" fillId="0" borderId="11" xfId="0" applyFont="1" applyFill="1" applyBorder="1" applyAlignment="1">
      <alignment horizontal="center"/>
    </xf>
    <xf numFmtId="0" fontId="58" fillId="0" borderId="54" xfId="0" applyFont="1" applyFill="1" applyBorder="1" applyAlignment="1">
      <alignment horizontal="center"/>
    </xf>
    <xf numFmtId="0" fontId="12" fillId="0" borderId="0" xfId="0" applyFont="1" applyFill="1" applyBorder="1" applyAlignment="1">
      <alignment horizontal="left" vertical="center"/>
    </xf>
    <xf numFmtId="0" fontId="12" fillId="0" borderId="19" xfId="0" quotePrefix="1" applyFont="1" applyFill="1" applyBorder="1" applyAlignment="1">
      <alignment vertical="center"/>
    </xf>
    <xf numFmtId="0" fontId="22" fillId="0" borderId="5" xfId="0" quotePrefix="1" applyFont="1" applyFill="1" applyBorder="1" applyAlignment="1">
      <alignment vertical="center"/>
    </xf>
    <xf numFmtId="0" fontId="22" fillId="0" borderId="19" xfId="0" applyFont="1" applyFill="1" applyBorder="1" applyAlignment="1">
      <alignment vertical="center"/>
    </xf>
    <xf numFmtId="0" fontId="22" fillId="0" borderId="0" xfId="0" applyFont="1" applyFill="1" applyBorder="1" applyAlignment="1">
      <alignment horizontal="left" vertical="center"/>
    </xf>
    <xf numFmtId="0" fontId="22" fillId="0" borderId="5" xfId="0" applyFont="1" applyFill="1" applyBorder="1" applyAlignment="1">
      <alignment horizontal="left" vertical="center"/>
    </xf>
    <xf numFmtId="0" fontId="22" fillId="0" borderId="0" xfId="0" quotePrefix="1" applyFont="1" applyFill="1" applyBorder="1" applyAlignment="1">
      <alignment vertical="center"/>
    </xf>
    <xf numFmtId="0" fontId="16" fillId="0" borderId="11" xfId="0" applyFont="1" applyFill="1" applyBorder="1" applyAlignment="1">
      <alignment horizontal="center" vertical="center"/>
    </xf>
    <xf numFmtId="164" fontId="16" fillId="5" borderId="19" xfId="0" applyNumberFormat="1" applyFont="1" applyFill="1" applyBorder="1" applyAlignment="1">
      <alignment horizontal="center" vertical="center"/>
    </xf>
    <xf numFmtId="0" fontId="68" fillId="0" borderId="18" xfId="0" applyFont="1" applyFill="1" applyBorder="1" applyAlignment="1">
      <alignment vertical="center"/>
    </xf>
    <xf numFmtId="0" fontId="12" fillId="0" borderId="4" xfId="0" applyFont="1" applyFill="1" applyBorder="1" applyAlignment="1">
      <alignment horizontal="center" vertical="center"/>
    </xf>
    <xf numFmtId="0" fontId="12" fillId="0" borderId="8" xfId="0" applyFont="1" applyFill="1" applyBorder="1" applyAlignment="1">
      <alignment horizontal="center" vertical="center"/>
    </xf>
    <xf numFmtId="0" fontId="50" fillId="0" borderId="0" xfId="0" applyFont="1" applyFill="1" applyBorder="1" applyAlignment="1">
      <alignment horizontal="center"/>
    </xf>
    <xf numFmtId="0" fontId="69" fillId="0" borderId="4" xfId="0" applyFont="1" applyFill="1" applyBorder="1" applyAlignment="1">
      <alignment horizontal="center" vertical="center"/>
    </xf>
    <xf numFmtId="0" fontId="37" fillId="5" borderId="7" xfId="0" applyFont="1" applyFill="1" applyBorder="1" applyAlignment="1">
      <alignment vertical="center"/>
    </xf>
    <xf numFmtId="0" fontId="37" fillId="5" borderId="16" xfId="0" applyFont="1" applyFill="1" applyBorder="1" applyAlignment="1">
      <alignment vertical="center"/>
    </xf>
    <xf numFmtId="0" fontId="25" fillId="5" borderId="2" xfId="0" applyFont="1" applyFill="1" applyBorder="1" applyAlignment="1">
      <alignment horizontal="center" vertical="center"/>
    </xf>
    <xf numFmtId="0" fontId="70" fillId="0" borderId="0" xfId="0" applyFont="1" applyAlignment="1">
      <alignment horizontal="left"/>
    </xf>
    <xf numFmtId="165" fontId="37" fillId="0" borderId="7" xfId="0" applyNumberFormat="1" applyFont="1" applyFill="1" applyBorder="1" applyAlignment="1">
      <alignment horizontal="center" vertical="center"/>
    </xf>
    <xf numFmtId="165" fontId="37" fillId="0" borderId="4" xfId="0" applyNumberFormat="1" applyFont="1" applyFill="1" applyBorder="1" applyAlignment="1">
      <alignment horizontal="center" vertical="center"/>
    </xf>
    <xf numFmtId="165" fontId="37" fillId="5" borderId="46" xfId="0" applyNumberFormat="1" applyFont="1" applyFill="1" applyBorder="1" applyAlignment="1">
      <alignment horizontal="center" vertical="center"/>
    </xf>
    <xf numFmtId="0" fontId="69" fillId="6" borderId="0" xfId="45" applyFont="1" applyFill="1" applyBorder="1" applyAlignment="1">
      <alignment horizontal="left" vertical="center"/>
    </xf>
    <xf numFmtId="165" fontId="25" fillId="5" borderId="13" xfId="0" applyNumberFormat="1" applyFont="1" applyFill="1" applyBorder="1" applyAlignment="1">
      <alignment horizontal="center" vertical="center"/>
    </xf>
    <xf numFmtId="0" fontId="12" fillId="0" borderId="11" xfId="0" applyFont="1" applyFill="1" applyBorder="1" applyAlignment="1">
      <alignment horizontal="center" vertical="center"/>
    </xf>
    <xf numFmtId="0" fontId="24" fillId="9" borderId="0" xfId="0" applyFont="1" applyFill="1" applyAlignment="1">
      <alignment vertical="center"/>
    </xf>
    <xf numFmtId="0" fontId="16" fillId="9" borderId="0" xfId="0" applyFont="1" applyFill="1" applyBorder="1" applyAlignment="1">
      <alignment horizontal="center" vertical="center"/>
    </xf>
    <xf numFmtId="0" fontId="24" fillId="9" borderId="0" xfId="0" applyFont="1" applyFill="1" applyBorder="1" applyAlignment="1">
      <alignment vertical="center"/>
    </xf>
    <xf numFmtId="0" fontId="24" fillId="0" borderId="7" xfId="0" applyFont="1" applyFill="1" applyBorder="1" applyAlignment="1">
      <alignment horizontal="center"/>
    </xf>
    <xf numFmtId="0" fontId="12" fillId="0" borderId="7" xfId="0" applyFont="1" applyFill="1" applyBorder="1" applyAlignment="1">
      <alignment horizontal="center"/>
    </xf>
    <xf numFmtId="0" fontId="23" fillId="0" borderId="2" xfId="0" applyFont="1" applyFill="1" applyBorder="1"/>
    <xf numFmtId="0" fontId="23" fillId="0" borderId="7" xfId="0" applyFont="1" applyFill="1" applyBorder="1"/>
    <xf numFmtId="0" fontId="16" fillId="0" borderId="0" xfId="0" applyFont="1" applyFill="1" applyAlignment="1">
      <alignment horizontal="center"/>
    </xf>
    <xf numFmtId="0" fontId="24" fillId="0" borderId="0" xfId="0" applyFont="1" applyFill="1" applyAlignment="1">
      <alignment horizontal="center"/>
    </xf>
    <xf numFmtId="0" fontId="16" fillId="0" borderId="0" xfId="0" applyFont="1" applyFill="1" applyBorder="1" applyAlignment="1">
      <alignment horizontal="center"/>
    </xf>
    <xf numFmtId="180" fontId="24" fillId="0" borderId="0" xfId="0" applyNumberFormat="1" applyFont="1" applyFill="1" applyAlignment="1">
      <alignment horizontal="center"/>
    </xf>
    <xf numFmtId="0" fontId="43" fillId="0" borderId="4" xfId="0" applyFont="1" applyFill="1" applyBorder="1" applyAlignment="1">
      <alignment horizontal="center" vertical="center"/>
    </xf>
    <xf numFmtId="0" fontId="69" fillId="0" borderId="4" xfId="0" applyFont="1" applyFill="1" applyBorder="1" applyAlignment="1">
      <alignment horizontal="left" vertical="center"/>
    </xf>
    <xf numFmtId="0" fontId="12" fillId="5" borderId="4" xfId="0" applyFont="1" applyFill="1" applyBorder="1" applyAlignment="1">
      <alignment horizontal="left" vertical="center"/>
    </xf>
    <xf numFmtId="0" fontId="57" fillId="0" borderId="82" xfId="0" applyFont="1" applyBorder="1" applyAlignment="1">
      <alignment horizontal="center"/>
    </xf>
    <xf numFmtId="0" fontId="58" fillId="0" borderId="83" xfId="0" applyFont="1" applyFill="1" applyBorder="1" applyAlignment="1">
      <alignment horizontal="center"/>
    </xf>
    <xf numFmtId="0" fontId="58" fillId="0" borderId="84" xfId="0" applyFont="1" applyFill="1" applyBorder="1" applyAlignment="1">
      <alignment horizontal="center"/>
    </xf>
    <xf numFmtId="0" fontId="62" fillId="0" borderId="0" xfId="42" applyFont="1" applyBorder="1" applyAlignment="1">
      <alignment vertical="top" wrapText="1"/>
    </xf>
    <xf numFmtId="0" fontId="12" fillId="10" borderId="0" xfId="0" applyFont="1" applyFill="1" applyBorder="1" applyAlignment="1">
      <alignment horizontal="center" vertical="center"/>
    </xf>
    <xf numFmtId="0" fontId="12" fillId="10" borderId="4" xfId="0" applyFont="1" applyFill="1" applyBorder="1" applyAlignment="1">
      <alignment horizontal="center" vertical="center"/>
    </xf>
    <xf numFmtId="0" fontId="24" fillId="0" borderId="15" xfId="0" applyFont="1" applyFill="1" applyBorder="1" applyAlignment="1">
      <alignment vertical="center"/>
    </xf>
    <xf numFmtId="0" fontId="24" fillId="0" borderId="4" xfId="0" applyFont="1" applyFill="1" applyBorder="1" applyAlignment="1">
      <alignment vertical="center"/>
    </xf>
    <xf numFmtId="0" fontId="53" fillId="0" borderId="0" xfId="0" applyFont="1" applyFill="1" applyAlignment="1">
      <alignment vertical="center"/>
    </xf>
    <xf numFmtId="0" fontId="53" fillId="0" borderId="0" xfId="0" applyFont="1" applyFill="1" applyBorder="1" applyAlignment="1">
      <alignment vertical="center"/>
    </xf>
    <xf numFmtId="0" fontId="71" fillId="0" borderId="4" xfId="0" applyFont="1" applyFill="1" applyBorder="1" applyAlignment="1">
      <alignment horizontal="center" vertical="center"/>
    </xf>
    <xf numFmtId="0" fontId="23" fillId="0" borderId="7" xfId="0" applyFont="1" applyFill="1" applyBorder="1" applyAlignment="1"/>
    <xf numFmtId="0" fontId="57" fillId="0" borderId="51" xfId="0" applyFont="1" applyFill="1" applyBorder="1" applyAlignment="1">
      <alignment horizontal="center"/>
    </xf>
    <xf numFmtId="0" fontId="57" fillId="0" borderId="54" xfId="0" applyFont="1" applyFill="1" applyBorder="1" applyAlignment="1">
      <alignment horizontal="center"/>
    </xf>
    <xf numFmtId="16" fontId="57" fillId="0" borderId="52" xfId="0" applyNumberFormat="1" applyFont="1" applyFill="1" applyBorder="1" applyAlignment="1">
      <alignment horizontal="center"/>
    </xf>
    <xf numFmtId="16" fontId="57" fillId="0" borderId="55" xfId="0" applyNumberFormat="1" applyFont="1" applyFill="1" applyBorder="1" applyAlignment="1">
      <alignment horizontal="center"/>
    </xf>
    <xf numFmtId="0" fontId="57" fillId="0" borderId="86" xfId="0" applyFont="1" applyBorder="1" applyAlignment="1">
      <alignment horizontal="center"/>
    </xf>
    <xf numFmtId="0" fontId="58" fillId="5" borderId="85" xfId="0" applyFont="1" applyFill="1" applyBorder="1" applyAlignment="1">
      <alignment horizontal="center"/>
    </xf>
    <xf numFmtId="0" fontId="58" fillId="5" borderId="88" xfId="0" applyFont="1" applyFill="1" applyBorder="1" applyAlignment="1">
      <alignment horizontal="center"/>
    </xf>
    <xf numFmtId="0" fontId="58" fillId="5" borderId="87" xfId="0" applyFont="1" applyFill="1" applyBorder="1" applyAlignment="1">
      <alignment horizontal="center"/>
    </xf>
    <xf numFmtId="0" fontId="58" fillId="5" borderId="89" xfId="0" applyFont="1" applyFill="1" applyBorder="1" applyAlignment="1">
      <alignment horizontal="center"/>
    </xf>
    <xf numFmtId="0" fontId="58" fillId="0" borderId="85" xfId="0" applyFont="1" applyFill="1" applyBorder="1" applyAlignment="1">
      <alignment horizontal="center"/>
    </xf>
    <xf numFmtId="0" fontId="58" fillId="0" borderId="88" xfId="0" applyFont="1" applyFill="1" applyBorder="1" applyAlignment="1">
      <alignment horizontal="center"/>
    </xf>
    <xf numFmtId="0" fontId="58" fillId="5" borderId="83" xfId="0" applyFont="1" applyFill="1" applyBorder="1" applyAlignment="1">
      <alignment horizontal="center"/>
    </xf>
    <xf numFmtId="0" fontId="58" fillId="5" borderId="84" xfId="0" applyFont="1" applyFill="1" applyBorder="1" applyAlignment="1">
      <alignment horizontal="center"/>
    </xf>
    <xf numFmtId="164" fontId="16" fillId="0" borderId="8" xfId="0" applyNumberFormat="1" applyFont="1" applyFill="1" applyBorder="1" applyAlignment="1">
      <alignment vertical="center"/>
    </xf>
    <xf numFmtId="164" fontId="16" fillId="0" borderId="11" xfId="0" applyNumberFormat="1" applyFont="1" applyFill="1" applyBorder="1" applyAlignment="1">
      <alignment vertical="center"/>
    </xf>
    <xf numFmtId="164" fontId="16" fillId="0" borderId="0" xfId="0" applyNumberFormat="1" applyFont="1" applyFill="1" applyBorder="1" applyAlignment="1">
      <alignment vertical="center"/>
    </xf>
    <xf numFmtId="164" fontId="12" fillId="0" borderId="11" xfId="0" applyNumberFormat="1" applyFont="1" applyFill="1" applyBorder="1" applyAlignment="1">
      <alignment vertical="center"/>
    </xf>
    <xf numFmtId="0" fontId="12" fillId="0" borderId="2" xfId="0" applyFont="1" applyFill="1" applyBorder="1" applyAlignment="1">
      <alignment horizontal="center" vertical="center"/>
    </xf>
    <xf numFmtId="0" fontId="58" fillId="6" borderId="83" xfId="0" applyFont="1" applyFill="1" applyBorder="1" applyAlignment="1">
      <alignment horizontal="center"/>
    </xf>
    <xf numFmtId="182" fontId="16" fillId="0" borderId="0" xfId="0" quotePrefix="1" applyNumberFormat="1" applyFont="1" applyFill="1" applyBorder="1" applyAlignment="1">
      <alignment horizontal="center"/>
    </xf>
    <xf numFmtId="164" fontId="12" fillId="0" borderId="43" xfId="0" applyNumberFormat="1" applyFont="1" applyFill="1" applyBorder="1" applyAlignment="1">
      <alignment horizontal="center" vertical="center"/>
    </xf>
    <xf numFmtId="181" fontId="12" fillId="5" borderId="19" xfId="0" applyNumberFormat="1" applyFont="1" applyFill="1" applyBorder="1" applyAlignment="1">
      <alignment horizontal="center" vertical="center"/>
    </xf>
    <xf numFmtId="164" fontId="12" fillId="5" borderId="11" xfId="0" applyNumberFormat="1" applyFont="1" applyFill="1" applyBorder="1" applyAlignment="1">
      <alignment horizontal="center" vertical="center"/>
    </xf>
    <xf numFmtId="164" fontId="12" fillId="0" borderId="18" xfId="0" applyNumberFormat="1" applyFont="1" applyFill="1" applyBorder="1" applyAlignment="1">
      <alignment horizontal="center" vertical="center"/>
    </xf>
    <xf numFmtId="165" fontId="12" fillId="0" borderId="18" xfId="0" quotePrefix="1" applyNumberFormat="1" applyFont="1" applyFill="1" applyBorder="1" applyAlignment="1">
      <alignment horizontal="center" vertical="center"/>
    </xf>
    <xf numFmtId="164" fontId="12" fillId="0" borderId="8" xfId="0" applyNumberFormat="1" applyFont="1" applyFill="1" applyBorder="1" applyAlignment="1">
      <alignment vertical="center"/>
    </xf>
    <xf numFmtId="0" fontId="12" fillId="0" borderId="19" xfId="0" applyFont="1" applyFill="1" applyBorder="1" applyAlignment="1">
      <alignment vertical="center"/>
    </xf>
    <xf numFmtId="164" fontId="12" fillId="0" borderId="0" xfId="0" applyNumberFormat="1" applyFont="1" applyFill="1" applyBorder="1" applyAlignment="1">
      <alignment vertical="center"/>
    </xf>
    <xf numFmtId="183" fontId="12" fillId="0" borderId="5" xfId="0" applyNumberFormat="1" applyFont="1" applyFill="1" applyBorder="1" applyAlignment="1">
      <alignment horizontal="center" vertical="center"/>
    </xf>
    <xf numFmtId="0" fontId="12" fillId="5" borderId="0" xfId="0" applyFont="1" applyFill="1" applyBorder="1" applyAlignment="1">
      <alignment vertical="center"/>
    </xf>
    <xf numFmtId="166" fontId="12" fillId="5" borderId="5" xfId="0" applyNumberFormat="1" applyFont="1" applyFill="1" applyBorder="1" applyAlignment="1">
      <alignment horizontal="center" vertical="center"/>
    </xf>
    <xf numFmtId="164" fontId="12" fillId="5" borderId="19" xfId="0" applyNumberFormat="1" applyFont="1" applyFill="1" applyBorder="1" applyAlignment="1">
      <alignment horizontal="center" vertical="center"/>
    </xf>
    <xf numFmtId="0" fontId="72" fillId="0" borderId="0" xfId="0" applyFont="1" applyAlignment="1">
      <alignment horizontal="left"/>
    </xf>
    <xf numFmtId="0" fontId="10" fillId="0" borderId="0" xfId="0" applyFont="1" applyFill="1" applyAlignment="1">
      <alignment vertical="center"/>
    </xf>
    <xf numFmtId="0" fontId="12" fillId="0" borderId="15" xfId="0" applyFont="1" applyFill="1" applyBorder="1" applyAlignment="1">
      <alignment horizontal="center" vertical="center"/>
    </xf>
    <xf numFmtId="165" fontId="48" fillId="0" borderId="0" xfId="0" applyNumberFormat="1" applyFont="1" applyAlignment="1">
      <alignment horizontal="center"/>
    </xf>
    <xf numFmtId="0" fontId="50" fillId="0" borderId="37" xfId="0" quotePrefix="1" applyFont="1" applyBorder="1" applyAlignment="1">
      <alignment horizontal="center"/>
    </xf>
    <xf numFmtId="0" fontId="72" fillId="0" borderId="0" xfId="0" applyFont="1"/>
    <xf numFmtId="0" fontId="58" fillId="6" borderId="85" xfId="0" applyFont="1" applyFill="1" applyBorder="1" applyAlignment="1">
      <alignment horizontal="center"/>
    </xf>
    <xf numFmtId="0" fontId="58" fillId="6" borderId="88" xfId="0" applyFont="1" applyFill="1" applyBorder="1" applyAlignment="1">
      <alignment horizontal="center"/>
    </xf>
    <xf numFmtId="0" fontId="58" fillId="6" borderId="91" xfId="0" applyFont="1" applyFill="1" applyBorder="1" applyAlignment="1"/>
    <xf numFmtId="0" fontId="58" fillId="6" borderId="92" xfId="0" applyFont="1" applyFill="1" applyBorder="1" applyAlignment="1"/>
    <xf numFmtId="0" fontId="58" fillId="6" borderId="93" xfId="0" applyFont="1" applyFill="1" applyBorder="1" applyAlignment="1"/>
    <xf numFmtId="0" fontId="58" fillId="6" borderId="94" xfId="0" applyFont="1" applyFill="1" applyBorder="1" applyAlignment="1"/>
    <xf numFmtId="0" fontId="58" fillId="6" borderId="94" xfId="0" applyFont="1" applyFill="1" applyBorder="1" applyAlignment="1">
      <alignment horizontal="center"/>
    </xf>
    <xf numFmtId="0" fontId="58" fillId="5" borderId="11" xfId="0" applyFont="1" applyFill="1" applyBorder="1" applyAlignment="1">
      <alignment horizontal="center"/>
    </xf>
    <xf numFmtId="0" fontId="58" fillId="5" borderId="54" xfId="0" applyFont="1" applyFill="1" applyBorder="1" applyAlignment="1">
      <alignment horizontal="center"/>
    </xf>
    <xf numFmtId="0" fontId="55" fillId="0" borderId="0" xfId="0" applyFont="1" applyBorder="1" applyAlignment="1">
      <alignment horizontal="center" vertical="center" wrapText="1"/>
    </xf>
    <xf numFmtId="0" fontId="67" fillId="0" borderId="0" xfId="42" applyFont="1" applyBorder="1" applyAlignment="1"/>
    <xf numFmtId="0" fontId="67" fillId="0" borderId="98" xfId="42" quotePrefix="1" applyFont="1" applyBorder="1" applyAlignment="1"/>
    <xf numFmtId="0" fontId="67" fillId="0" borderId="98" xfId="42" applyFont="1" applyBorder="1" applyAlignment="1"/>
    <xf numFmtId="0" fontId="67" fillId="0" borderId="99" xfId="42" applyFont="1" applyBorder="1" applyAlignment="1"/>
    <xf numFmtId="0" fontId="67" fillId="0" borderId="100" xfId="42" applyFont="1" applyBorder="1" applyAlignment="1"/>
    <xf numFmtId="0" fontId="67" fillId="0" borderId="101" xfId="42" applyFont="1" applyBorder="1" applyAlignment="1"/>
    <xf numFmtId="0" fontId="67" fillId="0" borderId="45" xfId="42" applyFont="1" applyBorder="1" applyAlignment="1"/>
    <xf numFmtId="0" fontId="67" fillId="0" borderId="95" xfId="42" applyFont="1" applyBorder="1" applyAlignment="1"/>
    <xf numFmtId="0" fontId="67" fillId="0" borderId="98" xfId="42" applyFont="1" applyBorder="1" applyAlignment="1">
      <alignment horizontal="left"/>
    </xf>
    <xf numFmtId="0" fontId="67" fillId="0" borderId="100" xfId="42" applyFont="1" applyBorder="1" applyAlignment="1">
      <alignment horizontal="left"/>
    </xf>
    <xf numFmtId="0" fontId="62" fillId="0" borderId="1" xfId="42" applyFont="1" applyBorder="1" applyAlignment="1">
      <alignment horizontal="center"/>
    </xf>
    <xf numFmtId="0" fontId="67" fillId="0" borderId="1" xfId="42" applyFont="1" applyBorder="1" applyAlignment="1"/>
    <xf numFmtId="0" fontId="67" fillId="0" borderId="97" xfId="42" applyFont="1" applyBorder="1" applyAlignment="1"/>
    <xf numFmtId="0" fontId="62" fillId="0" borderId="1" xfId="42" applyFont="1" applyBorder="1" applyAlignment="1">
      <alignment horizontal="center" wrapText="1"/>
    </xf>
    <xf numFmtId="0" fontId="67" fillId="0" borderId="1" xfId="42" quotePrefix="1" applyFont="1" applyBorder="1" applyAlignment="1"/>
    <xf numFmtId="0" fontId="67" fillId="0" borderId="45" xfId="42" quotePrefix="1" applyFont="1" applyBorder="1" applyAlignment="1"/>
    <xf numFmtId="0" fontId="62" fillId="0" borderId="102" xfId="42" applyFont="1" applyBorder="1"/>
    <xf numFmtId="0" fontId="62" fillId="0" borderId="103" xfId="42" applyFont="1" applyBorder="1"/>
    <xf numFmtId="0" fontId="62" fillId="0" borderId="58" xfId="42" applyFont="1" applyBorder="1"/>
    <xf numFmtId="0" fontId="62" fillId="0" borderId="104" xfId="42" applyFont="1" applyBorder="1"/>
    <xf numFmtId="0" fontId="62" fillId="0" borderId="102" xfId="42" applyFont="1" applyFill="1" applyBorder="1"/>
    <xf numFmtId="0" fontId="62" fillId="0" borderId="103" xfId="42" applyFont="1" applyFill="1" applyBorder="1"/>
    <xf numFmtId="0" fontId="62" fillId="0" borderId="58" xfId="42" applyFont="1" applyFill="1" applyBorder="1"/>
    <xf numFmtId="0" fontId="66" fillId="0" borderId="0" xfId="42" applyFont="1" applyBorder="1" applyAlignment="1">
      <alignment wrapText="1"/>
    </xf>
    <xf numFmtId="0" fontId="66" fillId="0" borderId="104" xfId="42" applyFont="1" applyBorder="1" applyAlignment="1">
      <alignment horizontal="center"/>
    </xf>
    <xf numFmtId="0" fontId="66" fillId="0" borderId="1" xfId="42" applyFont="1" applyBorder="1" applyAlignment="1">
      <alignment horizontal="center"/>
    </xf>
    <xf numFmtId="0" fontId="66" fillId="0" borderId="56" xfId="42" applyFont="1" applyBorder="1" applyAlignment="1">
      <alignment horizontal="center"/>
    </xf>
    <xf numFmtId="0" fontId="66" fillId="0" borderId="96" xfId="42" applyFont="1" applyBorder="1" applyAlignment="1">
      <alignment horizontal="center" wrapText="1"/>
    </xf>
    <xf numFmtId="0" fontId="25" fillId="0" borderId="9" xfId="0" applyFont="1" applyFill="1" applyBorder="1" applyAlignment="1">
      <alignment vertical="center"/>
    </xf>
    <xf numFmtId="0" fontId="25" fillId="0" borderId="16" xfId="0" applyFont="1" applyFill="1" applyBorder="1" applyAlignment="1">
      <alignment vertical="center"/>
    </xf>
    <xf numFmtId="0" fontId="69" fillId="0" borderId="4" xfId="45" applyFont="1" applyFill="1" applyBorder="1" applyAlignment="1">
      <alignment horizontal="left" vertical="center"/>
    </xf>
    <xf numFmtId="0" fontId="41" fillId="0" borderId="19" xfId="0" applyFont="1" applyFill="1" applyBorder="1" applyAlignment="1">
      <alignment vertical="center"/>
    </xf>
    <xf numFmtId="0" fontId="23" fillId="0" borderId="15" xfId="0" applyFont="1" applyFill="1" applyBorder="1" applyAlignment="1">
      <alignment horizontal="right" vertical="center"/>
    </xf>
    <xf numFmtId="0" fontId="43" fillId="0" borderId="15" xfId="0" applyFont="1" applyFill="1" applyBorder="1" applyAlignment="1">
      <alignment horizontal="right" vertical="center"/>
    </xf>
    <xf numFmtId="0" fontId="16" fillId="0" borderId="15" xfId="0" applyFont="1" applyFill="1" applyBorder="1" applyAlignment="1">
      <alignment vertical="center"/>
    </xf>
    <xf numFmtId="0" fontId="43" fillId="0" borderId="15" xfId="0" applyFont="1" applyFill="1" applyBorder="1" applyAlignment="1">
      <alignment vertical="center"/>
    </xf>
    <xf numFmtId="0" fontId="43" fillId="0" borderId="15" xfId="0" applyFont="1" applyFill="1" applyBorder="1" applyAlignment="1">
      <alignment horizontal="center" vertical="center"/>
    </xf>
    <xf numFmtId="0" fontId="43" fillId="0" borderId="85" xfId="0" applyFont="1" applyFill="1" applyBorder="1" applyAlignment="1">
      <alignment horizontal="right" vertical="center"/>
    </xf>
    <xf numFmtId="0" fontId="68" fillId="0" borderId="108" xfId="0" quotePrefix="1" applyFont="1" applyFill="1" applyBorder="1" applyAlignment="1">
      <alignment horizontal="center" vertical="center"/>
    </xf>
    <xf numFmtId="164" fontId="16" fillId="0" borderId="109" xfId="0" applyNumberFormat="1" applyFont="1" applyFill="1" applyBorder="1" applyAlignment="1">
      <alignment horizontal="center" vertical="center"/>
    </xf>
    <xf numFmtId="0" fontId="16" fillId="0" borderId="85" xfId="0" applyFont="1" applyFill="1" applyBorder="1" applyAlignment="1">
      <alignment horizontal="center" vertical="center"/>
    </xf>
    <xf numFmtId="0" fontId="46" fillId="0" borderId="15" xfId="0" applyFont="1" applyFill="1" applyBorder="1" applyAlignment="1">
      <alignment horizontal="center" vertical="center"/>
    </xf>
    <xf numFmtId="0" fontId="68" fillId="0" borderId="109" xfId="0" applyFont="1" applyFill="1" applyBorder="1" applyAlignment="1">
      <alignment vertical="center"/>
    </xf>
    <xf numFmtId="165" fontId="16" fillId="0" borderId="109" xfId="0" quotePrefix="1" applyNumberFormat="1" applyFont="1" applyFill="1" applyBorder="1" applyAlignment="1">
      <alignment horizontal="center" vertical="center"/>
    </xf>
    <xf numFmtId="164" fontId="16" fillId="0" borderId="85" xfId="0" applyNumberFormat="1" applyFont="1" applyFill="1" applyBorder="1" applyAlignment="1">
      <alignment vertical="center"/>
    </xf>
    <xf numFmtId="0" fontId="12" fillId="0" borderId="19" xfId="0" applyFont="1" applyFill="1" applyBorder="1" applyAlignment="1">
      <alignment horizontal="center" vertical="center"/>
    </xf>
    <xf numFmtId="0" fontId="16" fillId="0" borderId="6" xfId="0" applyFont="1" applyFill="1" applyBorder="1" applyAlignment="1">
      <alignment horizontal="center" vertical="center"/>
    </xf>
    <xf numFmtId="0" fontId="58" fillId="6" borderId="90" xfId="0" applyFont="1" applyFill="1" applyBorder="1" applyAlignment="1"/>
    <xf numFmtId="1" fontId="49" fillId="0" borderId="50" xfId="0" applyNumberFormat="1" applyFont="1" applyBorder="1" applyAlignment="1">
      <alignment horizontal="center"/>
    </xf>
    <xf numFmtId="0" fontId="50" fillId="0" borderId="110" xfId="0" applyFont="1" applyBorder="1" applyAlignment="1">
      <alignment horizontal="center"/>
    </xf>
    <xf numFmtId="0" fontId="69" fillId="0" borderId="0" xfId="0" applyFont="1" applyFill="1" applyBorder="1" applyAlignment="1">
      <alignment horizontal="center" vertical="center"/>
    </xf>
    <xf numFmtId="0" fontId="12" fillId="0" borderId="58" xfId="0" applyFont="1" applyFill="1" applyBorder="1" applyAlignment="1">
      <alignment horizontal="center" vertical="center"/>
    </xf>
    <xf numFmtId="0" fontId="58" fillId="6" borderId="91" xfId="0" applyFont="1" applyFill="1" applyBorder="1" applyAlignment="1">
      <alignment horizontal="center"/>
    </xf>
    <xf numFmtId="0" fontId="12" fillId="6" borderId="0" xfId="0" applyFont="1" applyFill="1" applyBorder="1" applyAlignment="1">
      <alignment horizontal="center" vertical="center"/>
    </xf>
    <xf numFmtId="0" fontId="24" fillId="12" borderId="5" xfId="0" applyFont="1" applyFill="1" applyBorder="1" applyAlignment="1">
      <alignment vertical="center"/>
    </xf>
    <xf numFmtId="0" fontId="69" fillId="0" borderId="0" xfId="0" applyFont="1" applyFill="1" applyBorder="1" applyAlignment="1">
      <alignment horizontal="left" vertical="center"/>
    </xf>
    <xf numFmtId="0" fontId="16" fillId="11" borderId="6" xfId="0" applyFont="1" applyFill="1" applyBorder="1" applyAlignment="1">
      <alignment horizontal="center" vertical="center"/>
    </xf>
    <xf numFmtId="0" fontId="12" fillId="0" borderId="45" xfId="0" applyFont="1" applyFill="1" applyBorder="1" applyAlignment="1">
      <alignment horizontal="center" vertical="center"/>
    </xf>
    <xf numFmtId="0" fontId="69" fillId="5" borderId="4" xfId="0" applyFont="1" applyFill="1" applyBorder="1" applyAlignment="1">
      <alignment horizontal="center" vertical="center"/>
    </xf>
    <xf numFmtId="1" fontId="48" fillId="0" borderId="0" xfId="0" quotePrefix="1" applyNumberFormat="1" applyFont="1" applyAlignment="1">
      <alignment horizontal="center"/>
    </xf>
    <xf numFmtId="165" fontId="49" fillId="0" borderId="36" xfId="0" applyNumberFormat="1" applyFont="1" applyBorder="1" applyAlignment="1">
      <alignment horizontal="center"/>
    </xf>
    <xf numFmtId="0" fontId="12" fillId="0" borderId="18" xfId="0" applyNumberFormat="1" applyFont="1" applyFill="1" applyBorder="1" applyAlignment="1">
      <alignment horizontal="center" vertical="center"/>
    </xf>
    <xf numFmtId="0" fontId="12" fillId="7" borderId="6" xfId="0" applyFont="1" applyFill="1" applyBorder="1" applyAlignment="1">
      <alignment horizontal="center" vertical="center"/>
    </xf>
    <xf numFmtId="0" fontId="12" fillId="11" borderId="6" xfId="0" applyFont="1" applyFill="1" applyBorder="1" applyAlignment="1">
      <alignment horizontal="center" vertical="center"/>
    </xf>
    <xf numFmtId="0" fontId="24" fillId="0" borderId="45" xfId="0" applyFont="1" applyFill="1" applyBorder="1" applyAlignment="1">
      <alignment vertical="center"/>
    </xf>
    <xf numFmtId="0" fontId="69" fillId="0" borderId="0" xfId="45" applyFont="1" applyFill="1" applyBorder="1" applyAlignment="1">
      <alignment horizontal="left" vertical="center"/>
    </xf>
    <xf numFmtId="0" fontId="12" fillId="0" borderId="95" xfId="0" applyFont="1" applyFill="1" applyBorder="1" applyAlignment="1">
      <alignment horizontal="center" vertical="center"/>
    </xf>
    <xf numFmtId="1" fontId="62" fillId="0" borderId="96" xfId="42" applyNumberFormat="1" applyFont="1" applyFill="1" applyBorder="1" applyAlignment="1">
      <alignment horizontal="center"/>
    </xf>
    <xf numFmtId="0" fontId="73" fillId="0" borderId="4" xfId="0" applyFont="1" applyFill="1" applyBorder="1" applyAlignment="1">
      <alignment horizontal="center" vertical="center"/>
    </xf>
    <xf numFmtId="0" fontId="73" fillId="0" borderId="0" xfId="0" applyFont="1" applyFill="1" applyBorder="1" applyAlignment="1">
      <alignment horizontal="left" vertical="center"/>
    </xf>
    <xf numFmtId="0" fontId="73" fillId="0" borderId="0" xfId="0" applyFont="1" applyFill="1" applyBorder="1" applyAlignment="1">
      <alignment horizontal="center" vertical="center"/>
    </xf>
    <xf numFmtId="0" fontId="73" fillId="0" borderId="4" xfId="0" applyFont="1" applyFill="1" applyBorder="1" applyAlignment="1">
      <alignment horizontal="left" vertical="center"/>
    </xf>
    <xf numFmtId="0" fontId="12" fillId="5" borderId="58" xfId="0" applyFont="1" applyFill="1" applyBorder="1" applyAlignment="1">
      <alignment horizontal="center" vertical="center"/>
    </xf>
    <xf numFmtId="0" fontId="12" fillId="5" borderId="45" xfId="0" applyFont="1" applyFill="1" applyBorder="1" applyAlignment="1">
      <alignment horizontal="center" vertical="center"/>
    </xf>
    <xf numFmtId="0" fontId="24" fillId="0" borderId="6" xfId="0" applyFont="1" applyFill="1" applyBorder="1" applyAlignment="1">
      <alignment vertical="center"/>
    </xf>
    <xf numFmtId="0" fontId="12" fillId="5" borderId="6" xfId="0" applyFont="1" applyFill="1" applyBorder="1" applyAlignment="1">
      <alignment horizontal="center" vertical="center"/>
    </xf>
    <xf numFmtId="0" fontId="73" fillId="5" borderId="4" xfId="0" applyFont="1" applyFill="1" applyBorder="1" applyAlignment="1">
      <alignment horizontal="center" vertical="center"/>
    </xf>
    <xf numFmtId="0" fontId="12" fillId="0" borderId="45" xfId="0" applyFont="1" applyFill="1" applyBorder="1" applyAlignment="1">
      <alignment vertical="center"/>
    </xf>
    <xf numFmtId="0" fontId="12" fillId="5" borderId="0" xfId="0" applyFont="1" applyFill="1" applyBorder="1" applyAlignment="1">
      <alignment horizontal="left" vertical="center"/>
    </xf>
    <xf numFmtId="0" fontId="12" fillId="0" borderId="19" xfId="0" quotePrefix="1" applyFont="1" applyFill="1" applyBorder="1" applyAlignment="1">
      <alignment horizontal="center" vertical="center"/>
    </xf>
    <xf numFmtId="165" fontId="12" fillId="0" borderId="19" xfId="0" quotePrefix="1" applyNumberFormat="1" applyFont="1" applyFill="1" applyBorder="1" applyAlignment="1">
      <alignment horizontal="center" vertical="center"/>
    </xf>
    <xf numFmtId="0" fontId="58" fillId="0" borderId="90" xfId="0" applyFont="1" applyFill="1" applyBorder="1" applyAlignment="1">
      <alignment horizontal="center"/>
    </xf>
    <xf numFmtId="0" fontId="58" fillId="0" borderId="111" xfId="0" applyFont="1" applyFill="1" applyBorder="1" applyAlignment="1">
      <alignment horizontal="center"/>
    </xf>
    <xf numFmtId="0" fontId="58" fillId="0" borderId="112" xfId="0" applyFont="1" applyFill="1" applyBorder="1" applyAlignment="1">
      <alignment horizontal="center"/>
    </xf>
    <xf numFmtId="0" fontId="12" fillId="0" borderId="43" xfId="0" applyFont="1" applyFill="1" applyBorder="1" applyAlignment="1">
      <alignment vertical="center"/>
    </xf>
    <xf numFmtId="0" fontId="12" fillId="7" borderId="58" xfId="0" applyFont="1" applyFill="1" applyBorder="1" applyAlignment="1">
      <alignment horizontal="center" vertical="center"/>
    </xf>
    <xf numFmtId="0" fontId="69" fillId="5" borderId="0" xfId="0" applyFont="1" applyFill="1" applyBorder="1" applyAlignment="1">
      <alignment horizontal="center" vertical="center"/>
    </xf>
    <xf numFmtId="0" fontId="74" fillId="0" borderId="83" xfId="0" applyFont="1" applyFill="1" applyBorder="1" applyAlignment="1">
      <alignment horizontal="center"/>
    </xf>
    <xf numFmtId="0" fontId="74" fillId="0" borderId="84" xfId="0" applyFont="1" applyFill="1" applyBorder="1" applyAlignment="1">
      <alignment horizontal="center"/>
    </xf>
    <xf numFmtId="0" fontId="74" fillId="0" borderId="112" xfId="0" applyFont="1" applyFill="1" applyBorder="1" applyAlignment="1">
      <alignment horizontal="center"/>
    </xf>
    <xf numFmtId="0" fontId="74" fillId="0" borderId="111" xfId="0" applyFont="1" applyFill="1" applyBorder="1" applyAlignment="1">
      <alignment horizontal="center"/>
    </xf>
    <xf numFmtId="0" fontId="74" fillId="0" borderId="11" xfId="0" applyFont="1" applyFill="1" applyBorder="1" applyAlignment="1">
      <alignment horizontal="center"/>
    </xf>
    <xf numFmtId="0" fontId="74" fillId="0" borderId="54" xfId="0" applyFont="1" applyFill="1" applyBorder="1" applyAlignment="1">
      <alignment horizontal="center"/>
    </xf>
    <xf numFmtId="0" fontId="16" fillId="0" borderId="48" xfId="0" applyFont="1" applyFill="1" applyBorder="1" applyAlignment="1">
      <alignment horizontal="center" vertical="center"/>
    </xf>
    <xf numFmtId="9" fontId="9" fillId="0" borderId="0" xfId="0" applyNumberFormat="1" applyFont="1"/>
    <xf numFmtId="0" fontId="9" fillId="0" borderId="0" xfId="0" applyFont="1" applyAlignment="1">
      <alignment horizontal="left"/>
    </xf>
    <xf numFmtId="0" fontId="9" fillId="0" borderId="0" xfId="0" applyFont="1" applyBorder="1"/>
    <xf numFmtId="0" fontId="9" fillId="0" borderId="7" xfId="0" applyFont="1" applyBorder="1"/>
    <xf numFmtId="0" fontId="9" fillId="0" borderId="0" xfId="0" applyFont="1" applyAlignment="1">
      <alignment vertical="center"/>
    </xf>
    <xf numFmtId="0" fontId="9" fillId="0" borderId="0" xfId="0" applyFont="1" applyBorder="1" applyAlignment="1">
      <alignment vertical="center"/>
    </xf>
    <xf numFmtId="0" fontId="8" fillId="0" borderId="15" xfId="0" applyFont="1" applyBorder="1" applyAlignment="1">
      <alignment horizontal="left"/>
    </xf>
    <xf numFmtId="0" fontId="9" fillId="0" borderId="0" xfId="0" applyFont="1" applyAlignment="1">
      <alignment horizontal="left" vertical="center"/>
    </xf>
    <xf numFmtId="0" fontId="9" fillId="0" borderId="0" xfId="0" applyFont="1" applyFill="1" applyBorder="1"/>
    <xf numFmtId="0" fontId="9" fillId="0" borderId="7" xfId="0" applyFont="1" applyFill="1" applyBorder="1"/>
    <xf numFmtId="0" fontId="9" fillId="0" borderId="0" xfId="0" applyFont="1" applyFill="1"/>
    <xf numFmtId="0" fontId="9" fillId="0" borderId="0" xfId="0" applyFont="1" applyAlignment="1">
      <alignment vertical="center" wrapText="1"/>
    </xf>
    <xf numFmtId="0" fontId="9" fillId="0" borderId="0" xfId="0" applyFont="1" applyAlignment="1">
      <alignment wrapText="1"/>
    </xf>
    <xf numFmtId="0" fontId="9" fillId="0" borderId="0" xfId="0" quotePrefix="1" applyFont="1"/>
    <xf numFmtId="0" fontId="0" fillId="0" borderId="0" xfId="0" applyAlignment="1">
      <alignment vertical="center"/>
    </xf>
    <xf numFmtId="0" fontId="9" fillId="0" borderId="0" xfId="0" applyFont="1" applyAlignment="1">
      <alignment horizontal="centerContinuous"/>
    </xf>
    <xf numFmtId="0" fontId="21" fillId="0" borderId="0" xfId="0" applyFont="1" applyBorder="1" applyAlignment="1">
      <alignment horizontal="centerContinuous"/>
    </xf>
    <xf numFmtId="0" fontId="16" fillId="0" borderId="0" xfId="0" applyFont="1" applyFill="1" applyBorder="1" applyAlignment="1">
      <alignment horizontal="left" vertical="center"/>
    </xf>
    <xf numFmtId="0" fontId="12" fillId="14" borderId="6" xfId="0" applyFont="1" applyFill="1" applyBorder="1" applyAlignment="1">
      <alignment horizontal="center" vertical="center"/>
    </xf>
    <xf numFmtId="0" fontId="16" fillId="13" borderId="6" xfId="0" applyFont="1" applyFill="1" applyBorder="1" applyAlignment="1">
      <alignment horizontal="center" vertical="center"/>
    </xf>
    <xf numFmtId="0" fontId="12" fillId="14" borderId="45" xfId="0" applyFont="1" applyFill="1" applyBorder="1" applyAlignment="1">
      <alignment horizontal="center" vertical="center"/>
    </xf>
    <xf numFmtId="0" fontId="12" fillId="15" borderId="58" xfId="0" applyFont="1" applyFill="1" applyBorder="1" applyAlignment="1">
      <alignment horizontal="center" vertical="center"/>
    </xf>
    <xf numFmtId="0" fontId="12" fillId="6" borderId="6" xfId="0" applyFont="1" applyFill="1" applyBorder="1" applyAlignment="1">
      <alignment horizontal="center" vertical="center"/>
    </xf>
    <xf numFmtId="0" fontId="16" fillId="0" borderId="4" xfId="0" applyFont="1" applyFill="1" applyBorder="1" applyAlignment="1">
      <alignment horizontal="right" vertical="center"/>
    </xf>
    <xf numFmtId="0" fontId="74" fillId="5" borderId="11" xfId="0" applyFont="1" applyFill="1" applyBorder="1" applyAlignment="1">
      <alignment horizontal="center"/>
    </xf>
    <xf numFmtId="0" fontId="74" fillId="5" borderId="54" xfId="0" applyFont="1" applyFill="1" applyBorder="1" applyAlignment="1">
      <alignment horizontal="center"/>
    </xf>
    <xf numFmtId="0" fontId="12" fillId="0" borderId="6" xfId="0" applyFont="1" applyFill="1" applyBorder="1" applyAlignment="1">
      <alignment vertical="center"/>
    </xf>
    <xf numFmtId="0" fontId="9" fillId="0" borderId="0" xfId="0" applyFont="1" applyAlignment="1">
      <alignment vertical="top" wrapText="1"/>
    </xf>
    <xf numFmtId="166" fontId="16" fillId="0" borderId="19" xfId="0" applyNumberFormat="1" applyFont="1" applyFill="1" applyBorder="1" applyAlignment="1">
      <alignment horizontal="center" vertical="center"/>
    </xf>
    <xf numFmtId="0" fontId="66" fillId="0" borderId="96" xfId="42" applyFont="1" applyFill="1" applyBorder="1" applyAlignment="1">
      <alignment horizontal="center"/>
    </xf>
    <xf numFmtId="0" fontId="66" fillId="0" borderId="1" xfId="42" applyFont="1" applyFill="1" applyBorder="1" applyAlignment="1">
      <alignment horizontal="center" wrapText="1"/>
    </xf>
    <xf numFmtId="0" fontId="16" fillId="5" borderId="43" xfId="0" applyFont="1" applyFill="1" applyBorder="1" applyAlignment="1">
      <alignment vertical="center"/>
    </xf>
    <xf numFmtId="0" fontId="57" fillId="0" borderId="0" xfId="0" applyFont="1" applyBorder="1" applyAlignment="1">
      <alignment horizontal="center"/>
    </xf>
    <xf numFmtId="0" fontId="58" fillId="0" borderId="0" xfId="0" applyFont="1" applyFill="1" applyBorder="1" applyAlignment="1">
      <alignment horizontal="center"/>
    </xf>
    <xf numFmtId="0" fontId="58" fillId="6" borderId="0" xfId="0" applyFont="1" applyFill="1" applyBorder="1" applyAlignment="1">
      <alignment horizontal="center"/>
    </xf>
    <xf numFmtId="0" fontId="74" fillId="0" borderId="0" xfId="0" applyFont="1" applyFill="1" applyBorder="1" applyAlignment="1">
      <alignment horizontal="center"/>
    </xf>
    <xf numFmtId="0" fontId="74" fillId="5" borderId="83" xfId="0" applyFont="1" applyFill="1" applyBorder="1" applyAlignment="1">
      <alignment horizontal="center"/>
    </xf>
    <xf numFmtId="0" fontId="74" fillId="5" borderId="84" xfId="0" applyFont="1" applyFill="1" applyBorder="1" applyAlignment="1">
      <alignment horizontal="center"/>
    </xf>
    <xf numFmtId="0" fontId="12" fillId="11" borderId="58" xfId="0" applyFont="1" applyFill="1" applyBorder="1" applyAlignment="1">
      <alignment horizontal="center" vertical="center"/>
    </xf>
    <xf numFmtId="165" fontId="25" fillId="0" borderId="26" xfId="0" applyNumberFormat="1" applyFont="1" applyFill="1" applyBorder="1" applyAlignment="1">
      <alignment horizontal="center" vertical="center"/>
    </xf>
    <xf numFmtId="164" fontId="12" fillId="0" borderId="10" xfId="0" applyNumberFormat="1" applyFont="1" applyFill="1" applyBorder="1" applyAlignment="1">
      <alignment vertical="center"/>
    </xf>
    <xf numFmtId="0" fontId="43" fillId="0" borderId="0" xfId="0" applyFont="1" applyFill="1" applyBorder="1" applyAlignment="1">
      <alignment horizontal="center" vertical="center"/>
    </xf>
    <xf numFmtId="0" fontId="16" fillId="13" borderId="6" xfId="0" quotePrefix="1" applyFont="1" applyFill="1" applyBorder="1" applyAlignment="1">
      <alignment horizontal="center" vertical="center"/>
    </xf>
    <xf numFmtId="0" fontId="16" fillId="0" borderId="113" xfId="0" applyFont="1" applyFill="1" applyBorder="1" applyAlignment="1">
      <alignment horizontal="center" vertical="center"/>
    </xf>
    <xf numFmtId="0" fontId="12" fillId="0" borderId="114" xfId="0" applyFont="1" applyFill="1" applyBorder="1" applyAlignment="1">
      <alignment vertical="center"/>
    </xf>
    <xf numFmtId="0" fontId="75" fillId="0" borderId="83" xfId="0" applyFont="1" applyFill="1" applyBorder="1" applyAlignment="1">
      <alignment horizontal="center"/>
    </xf>
    <xf numFmtId="0" fontId="75" fillId="0" borderId="84" xfId="0" applyFont="1" applyFill="1" applyBorder="1" applyAlignment="1">
      <alignment horizontal="center"/>
    </xf>
    <xf numFmtId="0" fontId="75" fillId="0" borderId="112" xfId="0" applyFont="1" applyFill="1" applyBorder="1" applyAlignment="1">
      <alignment horizontal="center"/>
    </xf>
    <xf numFmtId="0" fontId="75" fillId="0" borderId="111" xfId="0" applyFont="1" applyFill="1" applyBorder="1" applyAlignment="1">
      <alignment horizontal="center"/>
    </xf>
    <xf numFmtId="0" fontId="12" fillId="0" borderId="4" xfId="0" applyFont="1" applyFill="1" applyBorder="1" applyAlignment="1">
      <alignment vertical="center"/>
    </xf>
    <xf numFmtId="0" fontId="74" fillId="5" borderId="112" xfId="0" applyFont="1" applyFill="1" applyBorder="1" applyAlignment="1">
      <alignment horizontal="center"/>
    </xf>
    <xf numFmtId="0" fontId="74" fillId="5" borderId="111" xfId="0" applyFont="1" applyFill="1" applyBorder="1" applyAlignment="1">
      <alignment horizontal="center"/>
    </xf>
    <xf numFmtId="0" fontId="60" fillId="0" borderId="15" xfId="0" applyFont="1" applyBorder="1" applyAlignment="1">
      <alignment horizontal="center"/>
    </xf>
    <xf numFmtId="0" fontId="61" fillId="0" borderId="53" xfId="0" applyFont="1" applyBorder="1" applyAlignment="1">
      <alignment horizontal="center" vertical="center" wrapText="1"/>
    </xf>
    <xf numFmtId="0" fontId="61" fillId="0" borderId="78" xfId="0" applyFont="1" applyBorder="1" applyAlignment="1">
      <alignment horizontal="center" vertical="center" wrapText="1"/>
    </xf>
    <xf numFmtId="16" fontId="57" fillId="0" borderId="74" xfId="0" applyNumberFormat="1" applyFont="1" applyFill="1" applyBorder="1" applyAlignment="1"/>
    <xf numFmtId="0" fontId="73" fillId="11" borderId="4" xfId="0" applyFont="1" applyFill="1" applyBorder="1" applyAlignment="1">
      <alignment horizontal="center" vertical="center"/>
    </xf>
    <xf numFmtId="0" fontId="12" fillId="11" borderId="0" xfId="0" applyFont="1" applyFill="1" applyBorder="1" applyAlignment="1">
      <alignment horizontal="center" vertical="center"/>
    </xf>
    <xf numFmtId="0" fontId="12" fillId="11" borderId="45" xfId="0" applyFont="1" applyFill="1" applyBorder="1" applyAlignment="1">
      <alignment horizontal="center" vertical="center"/>
    </xf>
    <xf numFmtId="0" fontId="12" fillId="11" borderId="95" xfId="0" applyFont="1" applyFill="1" applyBorder="1" applyAlignment="1">
      <alignment horizontal="center" vertical="center"/>
    </xf>
    <xf numFmtId="0" fontId="42" fillId="0" borderId="6" xfId="0" applyFont="1" applyFill="1" applyBorder="1" applyAlignment="1">
      <alignment horizontal="center" vertical="center"/>
    </xf>
    <xf numFmtId="0" fontId="46" fillId="0" borderId="4" xfId="0" applyFont="1" applyFill="1" applyBorder="1" applyAlignment="1">
      <alignment horizontal="left" vertical="center"/>
    </xf>
    <xf numFmtId="0" fontId="12" fillId="7" borderId="100" xfId="0" applyFont="1" applyFill="1" applyBorder="1" applyAlignment="1">
      <alignment horizontal="center" vertical="center"/>
    </xf>
    <xf numFmtId="0" fontId="12" fillId="7" borderId="115" xfId="0" applyFont="1" applyFill="1" applyBorder="1" applyAlignment="1">
      <alignment horizontal="center" vertical="center"/>
    </xf>
    <xf numFmtId="0" fontId="24" fillId="0" borderId="0" xfId="0" applyFont="1" applyFill="1" applyAlignment="1">
      <alignment vertical="center"/>
    </xf>
    <xf numFmtId="0" fontId="24" fillId="0" borderId="0" xfId="0" applyFont="1" applyFill="1" applyAlignment="1">
      <alignment vertical="center"/>
    </xf>
    <xf numFmtId="9" fontId="25" fillId="0" borderId="44" xfId="0" applyNumberFormat="1" applyFont="1" applyFill="1" applyBorder="1" applyAlignment="1">
      <alignment horizontal="center" vertical="center"/>
    </xf>
    <xf numFmtId="9" fontId="25" fillId="0" borderId="81" xfId="0" quotePrefix="1" applyNumberFormat="1" applyFont="1" applyFill="1" applyBorder="1" applyAlignment="1">
      <alignment horizontal="center" vertical="center"/>
    </xf>
    <xf numFmtId="9" fontId="25" fillId="0" borderId="81" xfId="0" applyNumberFormat="1" applyFont="1" applyFill="1" applyBorder="1" applyAlignment="1">
      <alignment horizontal="center" vertical="center"/>
    </xf>
    <xf numFmtId="9" fontId="25" fillId="0" borderId="43" xfId="0" applyNumberFormat="1" applyFont="1" applyFill="1" applyBorder="1" applyAlignment="1">
      <alignment horizontal="center" vertical="center"/>
    </xf>
    <xf numFmtId="9" fontId="25" fillId="0" borderId="22" xfId="0" quotePrefix="1" applyNumberFormat="1" applyFont="1" applyFill="1" applyBorder="1" applyAlignment="1">
      <alignment horizontal="center" vertical="center"/>
    </xf>
    <xf numFmtId="0" fontId="24" fillId="0" borderId="0" xfId="0" applyFont="1" applyFill="1" applyAlignment="1">
      <alignment vertical="center"/>
    </xf>
    <xf numFmtId="0" fontId="69" fillId="5" borderId="4" xfId="45" applyFont="1" applyFill="1" applyBorder="1" applyAlignment="1">
      <alignment horizontal="left" vertical="center"/>
    </xf>
    <xf numFmtId="0" fontId="69" fillId="5" borderId="0" xfId="45" applyFont="1" applyFill="1" applyBorder="1" applyAlignment="1">
      <alignment horizontal="left" vertical="center"/>
    </xf>
    <xf numFmtId="0" fontId="24" fillId="0" borderId="0" xfId="0" applyFont="1" applyFill="1" applyAlignment="1">
      <alignment vertical="center"/>
    </xf>
    <xf numFmtId="1" fontId="62" fillId="0" borderId="105" xfId="42" applyNumberFormat="1" applyFont="1" applyFill="1" applyBorder="1" applyAlignment="1">
      <alignment horizontal="center"/>
    </xf>
    <xf numFmtId="1" fontId="62" fillId="0" borderId="107" xfId="42" applyNumberFormat="1" applyFont="1" applyFill="1" applyBorder="1" applyAlignment="1">
      <alignment horizontal="center"/>
    </xf>
    <xf numFmtId="1" fontId="62" fillId="0" borderId="106" xfId="42" applyNumberFormat="1" applyFont="1" applyFill="1" applyBorder="1" applyAlignment="1">
      <alignment horizontal="center"/>
    </xf>
    <xf numFmtId="0" fontId="73" fillId="11" borderId="0" xfId="0" applyFont="1" applyFill="1" applyBorder="1" applyAlignment="1">
      <alignment horizontal="center" vertical="center"/>
    </xf>
    <xf numFmtId="0" fontId="12" fillId="11" borderId="48" xfId="0" applyFont="1" applyFill="1" applyBorder="1" applyAlignment="1">
      <alignment horizontal="center" vertical="center"/>
    </xf>
    <xf numFmtId="0" fontId="69" fillId="11" borderId="4" xfId="0" applyFont="1" applyFill="1" applyBorder="1" applyAlignment="1">
      <alignment horizontal="left" vertical="center"/>
    </xf>
    <xf numFmtId="17" fontId="12" fillId="5" borderId="58" xfId="0" quotePrefix="1" applyNumberFormat="1" applyFont="1" applyFill="1" applyBorder="1" applyAlignment="1">
      <alignment horizontal="center" vertical="center"/>
    </xf>
    <xf numFmtId="0" fontId="12" fillId="5" borderId="3" xfId="0" applyFont="1" applyFill="1" applyBorder="1" applyAlignment="1">
      <alignment horizontal="center" vertical="center"/>
    </xf>
    <xf numFmtId="0" fontId="12" fillId="11" borderId="116" xfId="0" applyFont="1" applyFill="1" applyBorder="1" applyAlignment="1">
      <alignment horizontal="center" vertical="center"/>
    </xf>
    <xf numFmtId="0" fontId="24" fillId="0" borderId="0" xfId="0" applyFont="1" applyFill="1" applyAlignment="1">
      <alignment vertical="center"/>
    </xf>
    <xf numFmtId="165" fontId="37" fillId="0" borderId="21" xfId="0" applyNumberFormat="1" applyFont="1" applyFill="1" applyBorder="1" applyAlignment="1">
      <alignment horizontal="center" vertical="center"/>
    </xf>
    <xf numFmtId="165" fontId="37" fillId="0" borderId="22" xfId="0" applyNumberFormat="1" applyFont="1" applyFill="1" applyBorder="1" applyAlignment="1">
      <alignment horizontal="center" vertical="center"/>
    </xf>
    <xf numFmtId="0" fontId="12" fillId="7" borderId="24" xfId="0" applyFont="1" applyFill="1" applyBorder="1" applyAlignment="1">
      <alignment horizontal="center" vertical="center"/>
    </xf>
    <xf numFmtId="0" fontId="62" fillId="0" borderId="107" xfId="42" applyFont="1" applyFill="1" applyBorder="1" applyAlignment="1">
      <alignment horizontal="center"/>
    </xf>
    <xf numFmtId="0" fontId="62" fillId="0" borderId="45" xfId="42" applyFont="1" applyFill="1" applyBorder="1" applyAlignment="1">
      <alignment horizontal="center"/>
    </xf>
    <xf numFmtId="0" fontId="16" fillId="0" borderId="3" xfId="0" applyFont="1" applyFill="1" applyBorder="1" applyAlignment="1">
      <alignment horizontal="center" vertical="center"/>
    </xf>
    <xf numFmtId="0" fontId="62" fillId="0" borderId="105" xfId="42" applyFont="1" applyFill="1" applyBorder="1" applyAlignment="1">
      <alignment horizontal="center"/>
    </xf>
    <xf numFmtId="0" fontId="62" fillId="0" borderId="98" xfId="42" applyFont="1" applyFill="1" applyBorder="1" applyAlignment="1">
      <alignment horizontal="center"/>
    </xf>
    <xf numFmtId="0" fontId="62" fillId="0" borderId="106" xfId="42" applyFont="1" applyFill="1" applyBorder="1" applyAlignment="1">
      <alignment horizontal="center"/>
    </xf>
    <xf numFmtId="0" fontId="62" fillId="0" borderId="100" xfId="42" applyFont="1" applyFill="1" applyBorder="1" applyAlignment="1">
      <alignment horizontal="center"/>
    </xf>
    <xf numFmtId="165" fontId="25" fillId="0" borderId="13" xfId="0" applyNumberFormat="1" applyFont="1" applyFill="1" applyBorder="1" applyAlignment="1">
      <alignment horizontal="center" vertical="center"/>
    </xf>
    <xf numFmtId="0" fontId="62" fillId="0" borderId="96" xfId="42" applyFont="1" applyFill="1" applyBorder="1" applyAlignment="1">
      <alignment horizontal="center"/>
    </xf>
    <xf numFmtId="0" fontId="62" fillId="0" borderId="1" xfId="42" applyFont="1" applyFill="1" applyBorder="1" applyAlignment="1">
      <alignment horizontal="center"/>
    </xf>
    <xf numFmtId="165" fontId="25" fillId="0" borderId="71" xfId="0" applyNumberFormat="1" applyFont="1" applyFill="1" applyBorder="1" applyAlignment="1">
      <alignment horizontal="center" vertical="center"/>
    </xf>
    <xf numFmtId="0" fontId="12" fillId="7" borderId="3" xfId="0" applyFont="1" applyFill="1" applyBorder="1" applyAlignment="1">
      <alignment horizontal="center" vertical="center"/>
    </xf>
    <xf numFmtId="0" fontId="62" fillId="6" borderId="1" xfId="42" applyFont="1" applyFill="1" applyBorder="1" applyAlignment="1">
      <alignment horizontal="center"/>
    </xf>
    <xf numFmtId="0" fontId="62" fillId="6" borderId="105" xfId="42" applyFont="1" applyFill="1" applyBorder="1" applyAlignment="1">
      <alignment horizontal="center"/>
    </xf>
    <xf numFmtId="0" fontId="62" fillId="6" borderId="98" xfId="42" applyFont="1" applyFill="1" applyBorder="1" applyAlignment="1">
      <alignment horizontal="center"/>
    </xf>
    <xf numFmtId="0" fontId="62" fillId="6" borderId="107" xfId="42" applyFont="1" applyFill="1" applyBorder="1" applyAlignment="1">
      <alignment horizontal="center"/>
    </xf>
    <xf numFmtId="0" fontId="62" fillId="6" borderId="45" xfId="42" applyFont="1" applyFill="1" applyBorder="1" applyAlignment="1">
      <alignment horizontal="center"/>
    </xf>
    <xf numFmtId="0" fontId="24" fillId="0" borderId="114" xfId="0" applyFont="1" applyFill="1" applyBorder="1" applyAlignment="1">
      <alignment vertical="center"/>
    </xf>
    <xf numFmtId="0" fontId="12" fillId="0" borderId="117" xfId="0" applyFont="1" applyFill="1" applyBorder="1" applyAlignment="1">
      <alignment horizontal="center" vertical="center"/>
    </xf>
    <xf numFmtId="0" fontId="12" fillId="5" borderId="117" xfId="0" applyFont="1" applyFill="1" applyBorder="1" applyAlignment="1">
      <alignment horizontal="center" vertical="center"/>
    </xf>
    <xf numFmtId="0" fontId="12" fillId="5" borderId="118" xfId="0" applyFont="1" applyFill="1" applyBorder="1" applyAlignment="1">
      <alignment horizontal="center" vertical="center"/>
    </xf>
    <xf numFmtId="0" fontId="12" fillId="0" borderId="116" xfId="0" applyFont="1" applyFill="1" applyBorder="1" applyAlignment="1">
      <alignment horizontal="center" vertical="center"/>
    </xf>
    <xf numFmtId="165" fontId="62" fillId="0" borderId="105" xfId="42" applyNumberFormat="1" applyFont="1" applyFill="1" applyBorder="1" applyAlignment="1">
      <alignment horizontal="center"/>
    </xf>
    <xf numFmtId="0" fontId="16" fillId="13" borderId="3" xfId="0" applyFont="1" applyFill="1" applyBorder="1" applyAlignment="1">
      <alignment horizontal="center" vertical="center"/>
    </xf>
    <xf numFmtId="0" fontId="12" fillId="0" borderId="118" xfId="0" applyFont="1" applyFill="1" applyBorder="1" applyAlignment="1">
      <alignment horizontal="center" vertical="center"/>
    </xf>
    <xf numFmtId="0" fontId="12" fillId="11" borderId="3" xfId="0" applyFont="1" applyFill="1" applyBorder="1" applyAlignment="1">
      <alignment horizontal="center" vertical="center"/>
    </xf>
    <xf numFmtId="0" fontId="12" fillId="11" borderId="3" xfId="0" quotePrefix="1" applyFont="1" applyFill="1" applyBorder="1" applyAlignment="1">
      <alignment horizontal="center" vertical="center"/>
    </xf>
    <xf numFmtId="16" fontId="57" fillId="0" borderId="74" xfId="0" applyNumberFormat="1" applyFont="1" applyFill="1" applyBorder="1" applyAlignment="1">
      <alignment horizontal="center"/>
    </xf>
    <xf numFmtId="16" fontId="57" fillId="0" borderId="73" xfId="0" applyNumberFormat="1" applyFont="1" applyFill="1" applyBorder="1" applyAlignment="1">
      <alignment horizontal="center"/>
    </xf>
    <xf numFmtId="0" fontId="0" fillId="0" borderId="74" xfId="0" applyFill="1" applyBorder="1" applyAlignment="1">
      <alignment horizontal="center"/>
    </xf>
    <xf numFmtId="0" fontId="0" fillId="0" borderId="74" xfId="0" applyBorder="1" applyAlignment="1">
      <alignment horizontal="center"/>
    </xf>
    <xf numFmtId="16" fontId="57" fillId="0" borderId="73" xfId="0" applyNumberFormat="1" applyFont="1" applyBorder="1" applyAlignment="1">
      <alignment horizontal="center"/>
    </xf>
    <xf numFmtId="0" fontId="36" fillId="0" borderId="0" xfId="0" applyFont="1" applyFill="1" applyAlignment="1">
      <alignment horizontal="center" vertical="center"/>
    </xf>
    <xf numFmtId="0" fontId="36" fillId="0" borderId="0" xfId="0" applyFont="1" applyFill="1" applyBorder="1" applyAlignment="1">
      <alignment horizontal="center" vertical="center"/>
    </xf>
    <xf numFmtId="0" fontId="10" fillId="0" borderId="0" xfId="0" applyFont="1" applyFill="1" applyAlignment="1">
      <alignment vertical="center"/>
    </xf>
    <xf numFmtId="0" fontId="23" fillId="0" borderId="0" xfId="0" applyFont="1" applyFill="1" applyAlignment="1">
      <alignment horizontal="center" vertical="center"/>
    </xf>
    <xf numFmtId="0" fontId="39" fillId="0" borderId="0" xfId="0" applyFont="1" applyFill="1" applyAlignment="1">
      <alignment horizontal="center" vertical="center"/>
    </xf>
    <xf numFmtId="0" fontId="39" fillId="0" borderId="25" xfId="0" applyFont="1" applyFill="1" applyBorder="1" applyAlignment="1">
      <alignment horizontal="center" vertical="center"/>
    </xf>
    <xf numFmtId="0" fontId="39" fillId="0" borderId="26" xfId="0" applyFont="1" applyFill="1" applyBorder="1" applyAlignment="1">
      <alignment horizontal="center" vertical="center"/>
    </xf>
    <xf numFmtId="0" fontId="39" fillId="0" borderId="71" xfId="0" applyFont="1" applyFill="1" applyBorder="1" applyAlignment="1">
      <alignment horizontal="center" vertical="center"/>
    </xf>
    <xf numFmtId="0" fontId="24" fillId="0" borderId="76" xfId="58" applyFont="1" applyFill="1" applyBorder="1" applyAlignment="1">
      <alignment horizontal="left" vertical="top" wrapText="1"/>
    </xf>
    <xf numFmtId="0" fontId="24" fillId="0" borderId="23" xfId="58" applyFont="1" applyFill="1" applyBorder="1" applyAlignment="1">
      <alignment horizontal="left" vertical="top" wrapText="1"/>
    </xf>
    <xf numFmtId="0" fontId="24" fillId="0" borderId="75" xfId="58" applyFont="1" applyFill="1" applyBorder="1" applyAlignment="1">
      <alignment horizontal="left" vertical="top" wrapText="1"/>
    </xf>
    <xf numFmtId="0" fontId="24" fillId="0" borderId="51" xfId="58" applyFont="1" applyFill="1" applyBorder="1" applyAlignment="1">
      <alignment horizontal="left" vertical="top" wrapText="1"/>
    </xf>
    <xf numFmtId="0" fontId="24" fillId="0" borderId="0" xfId="58" applyFont="1" applyFill="1" applyBorder="1" applyAlignment="1">
      <alignment horizontal="left" vertical="top" wrapText="1"/>
    </xf>
    <xf numFmtId="0" fontId="24" fillId="0" borderId="17" xfId="58" applyFont="1" applyFill="1" applyBorder="1" applyAlignment="1">
      <alignment horizontal="left" vertical="top" wrapText="1"/>
    </xf>
    <xf numFmtId="0" fontId="24" fillId="6" borderId="51" xfId="0" applyFont="1" applyFill="1" applyBorder="1" applyAlignment="1">
      <alignment horizontal="left" vertical="center" wrapText="1"/>
    </xf>
    <xf numFmtId="0" fontId="24" fillId="6" borderId="0" xfId="0" applyFont="1" applyFill="1" applyBorder="1" applyAlignment="1">
      <alignment horizontal="left" vertical="center" wrapText="1"/>
    </xf>
    <xf numFmtId="0" fontId="24" fillId="6" borderId="17" xfId="0" applyFont="1" applyFill="1" applyBorder="1" applyAlignment="1">
      <alignment horizontal="left" vertical="center" wrapText="1"/>
    </xf>
    <xf numFmtId="0" fontId="24" fillId="6" borderId="48" xfId="0" applyFont="1" applyFill="1" applyBorder="1" applyAlignment="1">
      <alignment horizontal="left" vertical="center" wrapText="1"/>
    </xf>
    <xf numFmtId="0" fontId="24" fillId="6" borderId="15" xfId="0" applyFont="1" applyFill="1" applyBorder="1" applyAlignment="1">
      <alignment horizontal="left" vertical="center" wrapText="1"/>
    </xf>
    <xf numFmtId="0" fontId="24" fillId="6" borderId="47" xfId="0" applyFont="1" applyFill="1" applyBorder="1" applyAlignment="1">
      <alignment horizontal="left" vertical="center" wrapText="1"/>
    </xf>
    <xf numFmtId="0" fontId="39" fillId="0" borderId="0" xfId="0" applyFont="1" applyFill="1" applyBorder="1" applyAlignment="1">
      <alignment horizontal="center" vertical="center"/>
    </xf>
    <xf numFmtId="0" fontId="24" fillId="0" borderId="0" xfId="0" applyFont="1" applyFill="1" applyAlignment="1">
      <alignment vertical="center"/>
    </xf>
    <xf numFmtId="0" fontId="60" fillId="0" borderId="15" xfId="0" applyFont="1" applyBorder="1" applyAlignment="1">
      <alignment horizontal="center"/>
    </xf>
    <xf numFmtId="0" fontId="62" fillId="0" borderId="0" xfId="42" applyFont="1" applyBorder="1" applyAlignment="1">
      <alignment horizontal="center" vertical="top" wrapText="1"/>
    </xf>
    <xf numFmtId="0" fontId="62" fillId="0" borderId="98" xfId="42" applyFont="1" applyBorder="1" applyAlignment="1">
      <alignment horizontal="center" vertical="center"/>
    </xf>
    <xf numFmtId="0" fontId="62" fillId="0" borderId="100" xfId="42" applyFont="1" applyBorder="1" applyAlignment="1">
      <alignment horizontal="center" vertical="center"/>
    </xf>
    <xf numFmtId="0" fontId="0" fillId="0" borderId="45" xfId="0" applyBorder="1" applyAlignment="1">
      <alignment horizontal="center" vertical="center"/>
    </xf>
    <xf numFmtId="0" fontId="62" fillId="0" borderId="98" xfId="42" applyFont="1" applyBorder="1" applyAlignment="1">
      <alignment horizontal="center" vertical="center" wrapText="1"/>
    </xf>
    <xf numFmtId="0" fontId="62" fillId="0" borderId="45" xfId="42" applyFont="1" applyBorder="1" applyAlignment="1">
      <alignment horizontal="center" vertical="center"/>
    </xf>
    <xf numFmtId="0" fontId="62" fillId="0" borderId="76" xfId="42" applyFont="1" applyBorder="1" applyAlignment="1">
      <alignment horizontal="center" vertical="center" textRotation="90" wrapText="1"/>
    </xf>
    <xf numFmtId="0" fontId="62" fillId="0" borderId="51" xfId="42" applyFont="1" applyBorder="1" applyAlignment="1">
      <alignment horizontal="center" vertical="center" textRotation="90" wrapText="1"/>
    </xf>
    <xf numFmtId="0" fontId="62" fillId="0" borderId="48" xfId="42" applyFont="1" applyBorder="1" applyAlignment="1">
      <alignment horizontal="center" vertical="center" textRotation="90" wrapText="1"/>
    </xf>
    <xf numFmtId="0" fontId="62" fillId="0" borderId="23" xfId="42" applyFont="1" applyBorder="1" applyAlignment="1">
      <alignment horizontal="center" vertical="center" wrapText="1"/>
    </xf>
    <xf numFmtId="0" fontId="62" fillId="0" borderId="15" xfId="42" applyFont="1" applyBorder="1" applyAlignment="1">
      <alignment horizontal="center" vertical="center" wrapText="1"/>
    </xf>
    <xf numFmtId="0" fontId="62" fillId="0" borderId="0" xfId="42" applyFont="1" applyBorder="1" applyAlignment="1">
      <alignment horizontal="center" vertical="center" wrapText="1"/>
    </xf>
    <xf numFmtId="0" fontId="62" fillId="0" borderId="45" xfId="42" applyFont="1" applyBorder="1" applyAlignment="1">
      <alignment horizontal="center" vertical="center" wrapText="1"/>
    </xf>
    <xf numFmtId="0" fontId="55" fillId="0" borderId="23" xfId="0" applyFont="1" applyBorder="1" applyAlignment="1">
      <alignment horizontal="center" vertical="center" wrapText="1"/>
    </xf>
    <xf numFmtId="0" fontId="55" fillId="0" borderId="0" xfId="0" applyFont="1" applyBorder="1" applyAlignment="1">
      <alignment horizontal="center" vertical="center" wrapText="1"/>
    </xf>
    <xf numFmtId="0" fontId="62" fillId="0" borderId="100" xfId="42" applyFont="1" applyBorder="1" applyAlignment="1">
      <alignment horizontal="center" vertical="center" wrapText="1"/>
    </xf>
    <xf numFmtId="0" fontId="62" fillId="0" borderId="23" xfId="42" applyFont="1" applyBorder="1" applyAlignment="1">
      <alignment horizontal="center" vertical="center"/>
    </xf>
    <xf numFmtId="0" fontId="62" fillId="0" borderId="15" xfId="42" applyFont="1" applyBorder="1" applyAlignment="1">
      <alignment horizontal="center" vertical="center"/>
    </xf>
    <xf numFmtId="0" fontId="66" fillId="0" borderId="104" xfId="42" applyFont="1" applyBorder="1" applyAlignment="1">
      <alignment horizontal="center" wrapText="1"/>
    </xf>
    <xf numFmtId="0" fontId="66" fillId="0" borderId="1" xfId="42" applyFont="1" applyBorder="1" applyAlignment="1">
      <alignment horizontal="center" wrapText="1"/>
    </xf>
    <xf numFmtId="0" fontId="66" fillId="0" borderId="97" xfId="42" applyFont="1" applyBorder="1" applyAlignment="1">
      <alignment horizontal="center" wrapText="1"/>
    </xf>
    <xf numFmtId="0" fontId="64" fillId="0" borderId="0" xfId="42" applyFont="1" applyAlignment="1">
      <alignment horizontal="center" vertical="center" wrapText="1"/>
    </xf>
    <xf numFmtId="0" fontId="61" fillId="0" borderId="77" xfId="0" applyFont="1" applyBorder="1" applyAlignment="1">
      <alignment horizontal="center" vertical="center" wrapText="1"/>
    </xf>
    <xf numFmtId="0" fontId="8" fillId="0" borderId="79" xfId="0" applyFont="1" applyBorder="1" applyAlignment="1">
      <alignment horizontal="center"/>
    </xf>
    <xf numFmtId="0" fontId="0" fillId="0" borderId="80" xfId="0" applyBorder="1" applyAlignment="1">
      <alignment horizontal="center"/>
    </xf>
    <xf numFmtId="0" fontId="0" fillId="0" borderId="79" xfId="0" applyBorder="1" applyAlignment="1">
      <alignment horizontal="center"/>
    </xf>
    <xf numFmtId="0" fontId="19" fillId="0" borderId="36" xfId="0" applyFont="1" applyBorder="1" applyAlignment="1">
      <alignment horizontal="center"/>
    </xf>
    <xf numFmtId="0" fontId="19" fillId="0" borderId="0" xfId="0" applyFont="1" applyBorder="1" applyAlignment="1">
      <alignment horizontal="center"/>
    </xf>
    <xf numFmtId="0" fontId="8" fillId="0" borderId="15" xfId="0" applyFont="1" applyBorder="1" applyAlignment="1">
      <alignment horizontal="left"/>
    </xf>
    <xf numFmtId="184" fontId="21" fillId="0" borderId="0" xfId="0" quotePrefix="1" applyNumberFormat="1" applyFont="1" applyBorder="1" applyAlignment="1">
      <alignment horizontal="center"/>
    </xf>
    <xf numFmtId="0" fontId="21" fillId="0" borderId="0" xfId="0" applyFont="1" applyBorder="1" applyAlignment="1">
      <alignment horizontal="center"/>
    </xf>
    <xf numFmtId="0" fontId="8" fillId="0" borderId="15" xfId="0" applyFont="1" applyFill="1" applyBorder="1" applyAlignment="1">
      <alignment horizontal="left"/>
    </xf>
    <xf numFmtId="0" fontId="9" fillId="0" borderId="0" xfId="0" quotePrefix="1" applyFont="1" applyAlignment="1">
      <alignment horizontal="left" vertical="top" wrapText="1"/>
    </xf>
    <xf numFmtId="0" fontId="9" fillId="0" borderId="0" xfId="0" applyFont="1" applyAlignment="1">
      <alignment horizontal="left" vertical="top" wrapText="1"/>
    </xf>
  </cellXfs>
  <cellStyles count="62">
    <cellStyle name="$0" xfId="1"/>
    <cellStyle name="$0.0" xfId="2"/>
    <cellStyle name="$0.00" xfId="3"/>
    <cellStyle name="%0" xfId="4"/>
    <cellStyle name="%0.0" xfId="5"/>
    <cellStyle name="’Ê‰Ý [0.00]_!!!GO" xfId="6"/>
    <cellStyle name="’Ê‰Ý_!!!GO" xfId="7"/>
    <cellStyle name="•W€_!!!GO" xfId="8"/>
    <cellStyle name="0" xfId="9"/>
    <cellStyle name="0.0" xfId="10"/>
    <cellStyle name="0.00" xfId="11"/>
    <cellStyle name="args.style" xfId="12"/>
    <cellStyle name="Dezimal [0]_pldt" xfId="13"/>
    <cellStyle name="Dezimal_pldt" xfId="14"/>
    <cellStyle name="Grey" xfId="15"/>
    <cellStyle name="Grey 2" xfId="49"/>
    <cellStyle name="Grey 3" xfId="43"/>
    <cellStyle name="Header1" xfId="16"/>
    <cellStyle name="Header2" xfId="17"/>
    <cellStyle name="Input [yellow]" xfId="18"/>
    <cellStyle name="Input [yellow] 2" xfId="50"/>
    <cellStyle name="Input [yellow] 3" xfId="44"/>
    <cellStyle name="Milliers [0]_!!!GO" xfId="19"/>
    <cellStyle name="Milliers_!!!GO" xfId="20"/>
    <cellStyle name="Moeda [0]_Sheet1" xfId="21"/>
    <cellStyle name="Moeda_Sheet1" xfId="22"/>
    <cellStyle name="Monétaire [0]_!!!GO" xfId="23"/>
    <cellStyle name="Monétaire_!!!GO" xfId="24"/>
    <cellStyle name="Normal" xfId="0" builtinId="0"/>
    <cellStyle name="Normal - Style1" xfId="25"/>
    <cellStyle name="Normal 10" xfId="58"/>
    <cellStyle name="Normal 11" xfId="59"/>
    <cellStyle name="Normal 12" xfId="60"/>
    <cellStyle name="Normal 13" xfId="61"/>
    <cellStyle name="Normal 2" xfId="26"/>
    <cellStyle name="Normal 3" xfId="39"/>
    <cellStyle name="Normal 3 2" xfId="52"/>
    <cellStyle name="Normal 3 3" xfId="47"/>
    <cellStyle name="Normal 4" xfId="40"/>
    <cellStyle name="Normal 4 2" xfId="53"/>
    <cellStyle name="Normal 4 3" xfId="48"/>
    <cellStyle name="Normal 5" xfId="41"/>
    <cellStyle name="Normal 5 2" xfId="54"/>
    <cellStyle name="Normal 6" xfId="42"/>
    <cellStyle name="Normal 6 2" xfId="55"/>
    <cellStyle name="Normal 7" xfId="45"/>
    <cellStyle name="Normal 8" xfId="56"/>
    <cellStyle name="Normal 9" xfId="57"/>
    <cellStyle name="Normal_!!!GO_1" xfId="27"/>
    <cellStyle name="Œ…‹æØ‚è [0.00]_!!!GO" xfId="28"/>
    <cellStyle name="Œ…‹æØ‚è_!!!GO" xfId="29"/>
    <cellStyle name="per.style" xfId="30"/>
    <cellStyle name="Percent [2]" xfId="31"/>
    <cellStyle name="Separador de milhares [0]_Sheet1" xfId="32"/>
    <cellStyle name="Separador de milhares_Sheet1" xfId="33"/>
    <cellStyle name="Standard_pldt" xfId="34"/>
    <cellStyle name="Underline" xfId="35"/>
    <cellStyle name="Währung [0]_pldt" xfId="36"/>
    <cellStyle name="Währung_pldt" xfId="37"/>
    <cellStyle name="weekly" xfId="38"/>
    <cellStyle name="weekly 2" xfId="51"/>
    <cellStyle name="weekly 3" xfId="46"/>
  </cellStyles>
  <dxfs count="1">
    <dxf>
      <fill>
        <patternFill>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10.emf"/><Relationship Id="rId7" Type="http://schemas.openxmlformats.org/officeDocument/2006/relationships/image" Target="../media/image14.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3</xdr:col>
      <xdr:colOff>0</xdr:colOff>
      <xdr:row>34</xdr:row>
      <xdr:rowOff>0</xdr:rowOff>
    </xdr:from>
    <xdr:to>
      <xdr:col>3</xdr:col>
      <xdr:colOff>0</xdr:colOff>
      <xdr:row>34</xdr:row>
      <xdr:rowOff>0</xdr:rowOff>
    </xdr:to>
    <xdr:sp macro="" textlink="">
      <xdr:nvSpPr>
        <xdr:cNvPr id="101960" name="Line 12"/>
        <xdr:cNvSpPr>
          <a:spLocks noChangeShapeType="1"/>
        </xdr:cNvSpPr>
      </xdr:nvSpPr>
      <xdr:spPr bwMode="auto">
        <a:xfrm>
          <a:off x="2305050" y="962025"/>
          <a:ext cx="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34</xdr:row>
      <xdr:rowOff>0</xdr:rowOff>
    </xdr:from>
    <xdr:to>
      <xdr:col>3</xdr:col>
      <xdr:colOff>0</xdr:colOff>
      <xdr:row>34</xdr:row>
      <xdr:rowOff>0</xdr:rowOff>
    </xdr:to>
    <xdr:sp macro="" textlink="">
      <xdr:nvSpPr>
        <xdr:cNvPr id="101961" name="Line 59"/>
        <xdr:cNvSpPr>
          <a:spLocks noChangeShapeType="1"/>
        </xdr:cNvSpPr>
      </xdr:nvSpPr>
      <xdr:spPr bwMode="auto">
        <a:xfrm>
          <a:off x="2305050" y="962025"/>
          <a:ext cx="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16</xdr:col>
          <xdr:colOff>190500</xdr:colOff>
          <xdr:row>61</xdr:row>
          <xdr:rowOff>104775</xdr:rowOff>
        </xdr:from>
        <xdr:to>
          <xdr:col>31</xdr:col>
          <xdr:colOff>7794</xdr:colOff>
          <xdr:row>68</xdr:row>
          <xdr:rowOff>104776</xdr:rowOff>
        </xdr:to>
        <xdr:pic>
          <xdr:nvPicPr>
            <xdr:cNvPr id="101962" name="Picture 9"/>
            <xdr:cNvPicPr>
              <a:picLocks noChangeAspect="1" noChangeArrowheads="1"/>
              <a:extLst>
                <a:ext uri="{84589F7E-364E-4C9E-8A38-B11213B215E9}">
                  <a14:cameraTool cellRange="$CH$66:$CP$72" spid="_x0000_s422917"/>
                </a:ext>
              </a:extLst>
            </xdr:cNvPicPr>
          </xdr:nvPicPr>
          <xdr:blipFill>
            <a:blip xmlns:r="http://schemas.openxmlformats.org/officeDocument/2006/relationships" r:embed="rId1"/>
            <a:srcRect/>
            <a:stretch>
              <a:fillRect/>
            </a:stretch>
          </xdr:blipFill>
          <xdr:spPr bwMode="auto">
            <a:xfrm>
              <a:off x="5743575" y="8639175"/>
              <a:ext cx="3446319" cy="93345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171450</xdr:colOff>
          <xdr:row>53</xdr:row>
          <xdr:rowOff>95250</xdr:rowOff>
        </xdr:from>
        <xdr:to>
          <xdr:col>28</xdr:col>
          <xdr:colOff>136071</xdr:colOff>
          <xdr:row>58</xdr:row>
          <xdr:rowOff>95250</xdr:rowOff>
        </xdr:to>
        <xdr:pic>
          <xdr:nvPicPr>
            <xdr:cNvPr id="101963" name="Picture 10"/>
            <xdr:cNvPicPr>
              <a:picLocks noChangeAspect="1" noChangeArrowheads="1"/>
              <a:extLst>
                <a:ext uri="{84589F7E-364E-4C9E-8A38-B11213B215E9}">
                  <a14:cameraTool cellRange="$CG$77:$CK$81" spid="_x0000_s422918"/>
                </a:ext>
              </a:extLst>
            </xdr:cNvPicPr>
          </xdr:nvPicPr>
          <xdr:blipFill>
            <a:blip xmlns:r="http://schemas.openxmlformats.org/officeDocument/2006/relationships" r:embed="rId2"/>
            <a:srcRect/>
            <a:stretch>
              <a:fillRect/>
            </a:stretch>
          </xdr:blipFill>
          <xdr:spPr bwMode="auto">
            <a:xfrm>
              <a:off x="6105525" y="7562850"/>
              <a:ext cx="2517321" cy="6667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238125</xdr:colOff>
          <xdr:row>51</xdr:row>
          <xdr:rowOff>47625</xdr:rowOff>
        </xdr:from>
        <xdr:to>
          <xdr:col>62</xdr:col>
          <xdr:colOff>266509</xdr:colOff>
          <xdr:row>76</xdr:row>
          <xdr:rowOff>28575</xdr:rowOff>
        </xdr:to>
        <xdr:pic>
          <xdr:nvPicPr>
            <xdr:cNvPr id="101966" name="Picture 8"/>
            <xdr:cNvPicPr>
              <a:picLocks noChangeAspect="1" noChangeArrowheads="1"/>
              <a:extLst>
                <a:ext uri="{84589F7E-364E-4C9E-8A38-B11213B215E9}">
                  <a14:cameraTool cellRange="$CG$86:$CO$105" spid="_x0000_s422919"/>
                </a:ext>
              </a:extLst>
            </xdr:cNvPicPr>
          </xdr:nvPicPr>
          <xdr:blipFill>
            <a:blip xmlns:r="http://schemas.openxmlformats.org/officeDocument/2006/relationships" r:embed="rId3"/>
            <a:srcRect/>
            <a:stretch>
              <a:fillRect/>
            </a:stretch>
          </xdr:blipFill>
          <xdr:spPr bwMode="auto">
            <a:xfrm>
              <a:off x="14268450" y="7248525"/>
              <a:ext cx="4373440" cy="33147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209550</xdr:colOff>
          <xdr:row>78</xdr:row>
          <xdr:rowOff>9525</xdr:rowOff>
        </xdr:from>
        <xdr:to>
          <xdr:col>75</xdr:col>
          <xdr:colOff>114299</xdr:colOff>
          <xdr:row>93</xdr:row>
          <xdr:rowOff>123825</xdr:rowOff>
        </xdr:to>
        <xdr:pic>
          <xdr:nvPicPr>
            <xdr:cNvPr id="11" name="Picture 10"/>
            <xdr:cNvPicPr>
              <a:picLocks noChangeAspect="1" noChangeArrowheads="1"/>
              <a:extLst>
                <a:ext uri="{84589F7E-364E-4C9E-8A38-B11213B215E9}">
                  <a14:cameraTool cellRange="$CE$194" spid="_x0000_s422920"/>
                </a:ext>
              </a:extLst>
            </xdr:cNvPicPr>
          </xdr:nvPicPr>
          <xdr:blipFill>
            <a:blip xmlns:r="http://schemas.openxmlformats.org/officeDocument/2006/relationships" r:embed="rId4"/>
            <a:srcRect/>
            <a:stretch>
              <a:fillRect/>
            </a:stretch>
          </xdr:blipFill>
          <xdr:spPr bwMode="auto">
            <a:xfrm>
              <a:off x="15744825" y="10810875"/>
              <a:ext cx="4171950" cy="21145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800100</xdr:colOff>
          <xdr:row>76</xdr:row>
          <xdr:rowOff>123826</xdr:rowOff>
        </xdr:from>
        <xdr:to>
          <xdr:col>56</xdr:col>
          <xdr:colOff>192157</xdr:colOff>
          <xdr:row>116</xdr:row>
          <xdr:rowOff>47626</xdr:rowOff>
        </xdr:to>
        <xdr:pic>
          <xdr:nvPicPr>
            <xdr:cNvPr id="13" name="Picture 12"/>
            <xdr:cNvPicPr>
              <a:picLocks noChangeAspect="1" noChangeArrowheads="1"/>
              <a:extLst>
                <a:ext uri="{84589F7E-364E-4C9E-8A38-B11213B215E9}">
                  <a14:cameraTool cellRange="$CE$162:$CO$193" spid="_x0000_s422921"/>
                </a:ext>
              </a:extLst>
            </xdr:cNvPicPr>
          </xdr:nvPicPr>
          <xdr:blipFill>
            <a:blip xmlns:r="http://schemas.openxmlformats.org/officeDocument/2006/relationships" r:embed="rId5"/>
            <a:srcRect/>
            <a:stretch>
              <a:fillRect/>
            </a:stretch>
          </xdr:blipFill>
          <xdr:spPr bwMode="auto">
            <a:xfrm>
              <a:off x="12306300" y="10658476"/>
              <a:ext cx="4781550" cy="52578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232995</xdr:colOff>
          <xdr:row>55</xdr:row>
          <xdr:rowOff>68141</xdr:rowOff>
        </xdr:from>
        <xdr:to>
          <xdr:col>12</xdr:col>
          <xdr:colOff>106862</xdr:colOff>
          <xdr:row>88</xdr:row>
          <xdr:rowOff>35588</xdr:rowOff>
        </xdr:to>
        <xdr:pic>
          <xdr:nvPicPr>
            <xdr:cNvPr id="16" name="Picture 15"/>
            <xdr:cNvPicPr>
              <a:picLocks noChangeAspect="1" noChangeArrowheads="1"/>
              <a:extLst>
                <a:ext uri="{84589F7E-364E-4C9E-8A38-B11213B215E9}">
                  <a14:cameraTool cellRange="$CF$109:$CM$135" spid="_x0000_s422922"/>
                </a:ext>
              </a:extLst>
            </xdr:cNvPicPr>
          </xdr:nvPicPr>
          <xdr:blipFill>
            <a:blip xmlns:r="http://schemas.openxmlformats.org/officeDocument/2006/relationships" r:embed="rId6"/>
            <a:srcRect/>
            <a:stretch>
              <a:fillRect/>
            </a:stretch>
          </xdr:blipFill>
          <xdr:spPr bwMode="auto">
            <a:xfrm>
              <a:off x="232995" y="7856660"/>
              <a:ext cx="4437075" cy="43196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46</xdr:col>
      <xdr:colOff>58632</xdr:colOff>
      <xdr:row>7</xdr:row>
      <xdr:rowOff>43362</xdr:rowOff>
    </xdr:from>
    <xdr:to>
      <xdr:col>46</xdr:col>
      <xdr:colOff>58632</xdr:colOff>
      <xdr:row>50</xdr:row>
      <xdr:rowOff>31035</xdr:rowOff>
    </xdr:to>
    <xdr:cxnSp macro="">
      <xdr:nvCxnSpPr>
        <xdr:cNvPr id="18" name="Straight Connector 17"/>
        <xdr:cNvCxnSpPr/>
      </xdr:nvCxnSpPr>
      <xdr:spPr bwMode="auto">
        <a:xfrm>
          <a:off x="14936682" y="862512"/>
          <a:ext cx="0" cy="6197973"/>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rgbClr xmlns:mc="http://schemas.openxmlformats.org/markup-compatibility/2006" xmlns:a14="http://schemas.microsoft.com/office/drawing/2010/main" val="000000" mc:Ignorable="a14" a14:legacySpreadsheetColorIndex="64"/>
          </a:solidFill>
          <a:prstDash val="sysDash"/>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8</xdr:col>
      <xdr:colOff>42862</xdr:colOff>
      <xdr:row>7</xdr:row>
      <xdr:rowOff>2198</xdr:rowOff>
    </xdr:from>
    <xdr:to>
      <xdr:col>8</xdr:col>
      <xdr:colOff>42862</xdr:colOff>
      <xdr:row>49</xdr:row>
      <xdr:rowOff>139212</xdr:rowOff>
    </xdr:to>
    <xdr:cxnSp macro="">
      <xdr:nvCxnSpPr>
        <xdr:cNvPr id="17" name="Straight Connector 16"/>
        <xdr:cNvCxnSpPr/>
      </xdr:nvCxnSpPr>
      <xdr:spPr bwMode="auto">
        <a:xfrm>
          <a:off x="4519612" y="823729"/>
          <a:ext cx="0" cy="6292546"/>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ysClr val="windowText" lastClr="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mc:AlternateContent xmlns:mc="http://schemas.openxmlformats.org/markup-compatibility/2006">
    <mc:Choice xmlns:a14="http://schemas.microsoft.com/office/drawing/2010/main" Requires="a14">
      <xdr:twoCellAnchor editAs="oneCell">
        <xdr:from>
          <xdr:col>0</xdr:col>
          <xdr:colOff>95251</xdr:colOff>
          <xdr:row>97</xdr:row>
          <xdr:rowOff>47625</xdr:rowOff>
        </xdr:from>
        <xdr:to>
          <xdr:col>41</xdr:col>
          <xdr:colOff>447676</xdr:colOff>
          <xdr:row>108</xdr:row>
          <xdr:rowOff>91253</xdr:rowOff>
        </xdr:to>
        <xdr:pic>
          <xdr:nvPicPr>
            <xdr:cNvPr id="15" name="Picture 14"/>
            <xdr:cNvPicPr>
              <a:picLocks noChangeAspect="1" noChangeArrowheads="1"/>
              <a:extLst>
                <a:ext uri="{84589F7E-364E-4C9E-8A38-B11213B215E9}">
                  <a14:cameraTool cellRange="$CZ$132:$OH$141" spid="_x0000_s422923"/>
                </a:ext>
              </a:extLst>
            </xdr:cNvPicPr>
          </xdr:nvPicPr>
          <xdr:blipFill>
            <a:blip xmlns:r="http://schemas.openxmlformats.org/officeDocument/2006/relationships" r:embed="rId7"/>
            <a:srcRect/>
            <a:stretch>
              <a:fillRect/>
            </a:stretch>
          </xdr:blipFill>
          <xdr:spPr bwMode="auto">
            <a:xfrm>
              <a:off x="95251" y="13382625"/>
              <a:ext cx="12153900" cy="151047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0"/>
  <sheetViews>
    <sheetView workbookViewId="0"/>
  </sheetViews>
  <sheetFormatPr defaultColWidth="11.453125" defaultRowHeight="10"/>
  <cols>
    <col min="1" max="1" width="32.81640625" style="2" customWidth="1"/>
    <col min="2" max="2" width="14.1796875" style="2" customWidth="1"/>
    <col min="3" max="16384" width="11.453125" style="2"/>
  </cols>
  <sheetData>
    <row r="1" spans="1:1" ht="12.5">
      <c r="A1" s="4"/>
    </row>
    <row r="26" spans="2:2" ht="12.5">
      <c r="B26" s="3"/>
    </row>
    <row r="27" spans="2:2" ht="12.5">
      <c r="B27" s="3"/>
    </row>
    <row r="28" spans="2:2" ht="12.5">
      <c r="B28" s="3"/>
    </row>
    <row r="29" spans="2:2" ht="12.5">
      <c r="B29" s="3"/>
    </row>
    <row r="30" spans="2:2" ht="12.5">
      <c r="B30" s="3"/>
    </row>
    <row r="31" spans="2:2" ht="12.5">
      <c r="B31" s="3"/>
    </row>
    <row r="32" spans="2:2" ht="12.5">
      <c r="B32" s="3"/>
    </row>
    <row r="60" ht="12.75" customHeight="1"/>
  </sheetData>
  <sheetProtection password="D7D2" sheet="1" objects="1" scenarios="1"/>
  <customSheetViews>
    <customSheetView guid="{08C15DDF-888A-4EA7-BBDA-6FF36DAC46FE}" showFormulas="1" showGridLines="0" outlineSymbols="0" zeroValues="0" state="veryHidden">
      <pageMargins left="0.75" right="0.75" top="1" bottom="1" header="0.4921259845" footer="0.4921259845"/>
      <pageSetup paperSize="9" orientation="portrait" horizontalDpi="360" verticalDpi="360" r:id="rId1"/>
      <headerFooter alignWithMargins="0">
        <oddHeader>&amp;A</oddHeader>
        <oddFooter>Page &amp;P</oddFooter>
      </headerFooter>
    </customSheetView>
    <customSheetView guid="{9B688151-B216-4D15-BAF0-B3C14436A635}" showFormulas="1" showGridLines="0" outlineSymbols="0" zeroValues="0" state="veryHidden">
      <pageMargins left="0.75" right="0.75" top="1" bottom="1" header="0.4921259845" footer="0.4921259845"/>
      <pageSetup paperSize="9" orientation="portrait" horizontalDpi="360" verticalDpi="360" r:id="rId2"/>
      <headerFooter alignWithMargins="0">
        <oddHeader>&amp;A</oddHeader>
        <oddFooter>Page &amp;P</oddFooter>
      </headerFooter>
    </customSheetView>
  </customSheetViews>
  <phoneticPr fontId="12" type="noConversion"/>
  <pageMargins left="0.75" right="0.75" top="1" bottom="1" header="0.4921259845" footer="0.4921259845"/>
  <pageSetup paperSize="9" orientation="portrait" horizontalDpi="360" verticalDpi="360" r:id="rId3"/>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OI209"/>
  <sheetViews>
    <sheetView showGridLines="0" tabSelected="1" zoomScale="60" zoomScaleNormal="60" workbookViewId="0">
      <pane ySplit="7" topLeftCell="A8" activePane="bottomLeft" state="frozen"/>
      <selection pane="bottomLeft" sqref="A1:XFD1048576"/>
    </sheetView>
  </sheetViews>
  <sheetFormatPr defaultColWidth="9.1796875" defaultRowHeight="13"/>
  <cols>
    <col min="1" max="1" width="28" style="15" customWidth="1"/>
    <col min="2" max="2" width="5.7265625" style="15" customWidth="1"/>
    <col min="3" max="3" width="1.1796875" style="15" customWidth="1"/>
    <col min="4" max="4" width="5.1796875" style="43" customWidth="1"/>
    <col min="5" max="5" width="4.26953125" style="43" customWidth="1"/>
    <col min="6" max="6" width="1.26953125" style="43" customWidth="1"/>
    <col min="7" max="7" width="5.1796875" style="43" customWidth="1"/>
    <col min="8" max="8" width="4.54296875" style="84" customWidth="1"/>
    <col min="9" max="9" width="1.26953125" style="15" customWidth="1"/>
    <col min="10" max="10" width="5.1796875" style="15" customWidth="1"/>
    <col min="11" max="11" width="5.26953125" style="16" bestFit="1" customWidth="1"/>
    <col min="12" max="12" width="1.26953125" style="16" customWidth="1"/>
    <col min="13" max="13" width="5.1796875" style="15" customWidth="1"/>
    <col min="14" max="14" width="4.26953125" style="15" customWidth="1"/>
    <col min="15" max="15" width="1.26953125" style="16" customWidth="1"/>
    <col min="16" max="16" width="5.1796875" style="15" customWidth="1"/>
    <col min="17" max="17" width="4.453125" style="15" customWidth="1"/>
    <col min="18" max="18" width="1.26953125" style="15" customWidth="1"/>
    <col min="19" max="19" width="5.1796875" style="15" customWidth="1"/>
    <col min="20" max="20" width="4.1796875" style="15" customWidth="1"/>
    <col min="21" max="21" width="1.26953125" style="15" customWidth="1"/>
    <col min="22" max="22" width="6.26953125" style="15" customWidth="1"/>
    <col min="23" max="23" width="4.26953125" style="15" customWidth="1"/>
    <col min="24" max="24" width="1.26953125" style="15" customWidth="1"/>
    <col min="25" max="25" width="5.1796875" style="15" customWidth="1"/>
    <col min="26" max="26" width="4.26953125" style="16" customWidth="1"/>
    <col min="27" max="27" width="1.26953125" style="15" customWidth="1"/>
    <col min="28" max="28" width="5.1796875" style="15" customWidth="1"/>
    <col min="29" max="29" width="4" style="15" customWidth="1"/>
    <col min="30" max="30" width="1.26953125" style="15" customWidth="1"/>
    <col min="31" max="31" width="5.1796875" style="15" customWidth="1"/>
    <col min="32" max="32" width="4.1796875" style="15" customWidth="1"/>
    <col min="33" max="33" width="1.26953125" style="15" customWidth="1"/>
    <col min="34" max="34" width="5.54296875" style="15" customWidth="1"/>
    <col min="35" max="35" width="6.26953125" style="15" bestFit="1" customWidth="1"/>
    <col min="36" max="36" width="1.26953125" style="15" customWidth="1"/>
    <col min="37" max="37" width="5.1796875" style="15" customWidth="1"/>
    <col min="38" max="38" width="4" style="16" customWidth="1"/>
    <col min="39" max="39" width="1.26953125" style="15" customWidth="1"/>
    <col min="40" max="40" width="5.1796875" style="16" customWidth="1"/>
    <col min="41" max="41" width="4.26953125" style="16" customWidth="1"/>
    <col min="42" max="42" width="29.7265625" style="15" customWidth="1"/>
    <col min="43" max="43" width="5.7265625" style="15" customWidth="1"/>
    <col min="44" max="44" width="1.26953125" style="15" customWidth="1"/>
    <col min="45" max="45" width="5.1796875" style="15" customWidth="1"/>
    <col min="46" max="46" width="4.26953125" style="15" customWidth="1"/>
    <col min="47" max="47" width="1.26953125" style="15" customWidth="1"/>
    <col min="48" max="48" width="5.1796875" style="15" customWidth="1"/>
    <col min="49" max="49" width="4.453125" style="15" customWidth="1"/>
    <col min="50" max="50" width="1.81640625" style="15" customWidth="1"/>
    <col min="51" max="51" width="5.1796875" style="15" customWidth="1"/>
    <col min="52" max="52" width="4.26953125" style="15" customWidth="1"/>
    <col min="53" max="53" width="1.7265625" style="15" customWidth="1"/>
    <col min="54" max="54" width="5.1796875" style="15" customWidth="1"/>
    <col min="55" max="55" width="4.26953125" style="15" customWidth="1"/>
    <col min="56" max="56" width="1.26953125" style="15" customWidth="1"/>
    <col min="57" max="57" width="5.1796875" style="15" customWidth="1"/>
    <col min="58" max="58" width="4.26953125" style="15" customWidth="1"/>
    <col min="59" max="59" width="1.26953125" style="15" customWidth="1"/>
    <col min="60" max="60" width="5.1796875" style="15" customWidth="1"/>
    <col min="61" max="61" width="3.81640625" style="15" customWidth="1"/>
    <col min="62" max="62" width="1.26953125" style="15" customWidth="1"/>
    <col min="63" max="63" width="5.1796875" style="15" customWidth="1"/>
    <col min="64" max="64" width="4.54296875" style="15" customWidth="1"/>
    <col min="65" max="65" width="1.26953125" style="15" customWidth="1"/>
    <col min="66" max="66" width="5" style="15" customWidth="1"/>
    <col min="67" max="67" width="4.1796875" style="15" customWidth="1"/>
    <col min="68" max="68" width="1.26953125" style="15" customWidth="1"/>
    <col min="69" max="69" width="5.1796875" style="15" customWidth="1"/>
    <col min="70" max="70" width="4.453125" style="15" customWidth="1"/>
    <col min="71" max="71" width="1.26953125" style="15" customWidth="1"/>
    <col min="72" max="72" width="5.1796875" style="15" customWidth="1"/>
    <col min="73" max="73" width="4.26953125" style="15" customWidth="1"/>
    <col min="74" max="74" width="1.26953125" style="15" customWidth="1"/>
    <col min="75" max="75" width="5.1796875" style="15" customWidth="1"/>
    <col min="76" max="76" width="4.1796875" style="15" customWidth="1"/>
    <col min="77" max="77" width="1.26953125" style="15" customWidth="1"/>
    <col min="78" max="78" width="5.1796875" style="15" customWidth="1"/>
    <col min="79" max="79" width="4.1796875" style="15" customWidth="1"/>
    <col min="80" max="80" width="1.26953125" style="290" customWidth="1"/>
    <col min="81" max="81" width="3.1796875" style="15" customWidth="1"/>
    <col min="82" max="82" width="2.81640625" style="15" customWidth="1"/>
    <col min="83" max="83" width="3.7265625" style="15" customWidth="1"/>
    <col min="84" max="84" width="9.1796875" style="15"/>
    <col min="85" max="85" width="12.1796875" style="15" customWidth="1"/>
    <col min="86" max="86" width="5.54296875" style="15" customWidth="1"/>
    <col min="87" max="89" width="6.453125" style="15" customWidth="1"/>
    <col min="90" max="90" width="7.1796875" style="15" customWidth="1"/>
    <col min="91" max="91" width="7.26953125" style="15" customWidth="1"/>
    <col min="92" max="92" width="6.453125" style="15" customWidth="1"/>
    <col min="93" max="102" width="4.453125" style="15" customWidth="1"/>
    <col min="103" max="103" width="14" style="15" customWidth="1"/>
    <col min="104" max="104" width="31.54296875" style="15" customWidth="1"/>
    <col min="105" max="136" width="5.81640625" style="15" hidden="1" customWidth="1"/>
    <col min="137" max="154" width="5.81640625" style="290" hidden="1" customWidth="1"/>
    <col min="155" max="156" width="5.81640625" style="15" hidden="1" customWidth="1"/>
    <col min="157" max="286" width="5.81640625" style="290" hidden="1" customWidth="1"/>
    <col min="287" max="306" width="6" style="290" hidden="1" customWidth="1"/>
    <col min="307" max="364" width="5.81640625" style="290" hidden="1" customWidth="1"/>
    <col min="365" max="368" width="6.7265625" style="290" hidden="1" customWidth="1"/>
    <col min="369" max="370" width="6.54296875" style="290" hidden="1" customWidth="1"/>
    <col min="371" max="372" width="7.1796875" style="290" hidden="1" customWidth="1"/>
    <col min="373" max="373" width="7.1796875" style="290" bestFit="1" customWidth="1"/>
    <col min="374" max="376" width="7.54296875" style="290" bestFit="1" customWidth="1"/>
    <col min="377" max="379" width="6.453125" style="290" bestFit="1" customWidth="1"/>
    <col min="380" max="382" width="7" style="290" bestFit="1" customWidth="1"/>
    <col min="383" max="387" width="7.453125" style="290" bestFit="1" customWidth="1"/>
    <col min="388" max="388" width="6.54296875" style="290" bestFit="1" customWidth="1"/>
    <col min="389" max="391" width="6.81640625" style="290" bestFit="1" customWidth="1"/>
    <col min="392" max="394" width="7.7265625" style="290" bestFit="1" customWidth="1"/>
    <col min="395" max="396" width="7.7265625" style="15" bestFit="1" customWidth="1"/>
    <col min="397" max="16384" width="9.1796875" style="15"/>
  </cols>
  <sheetData>
    <row r="1" spans="1:394" ht="8.25" customHeight="1">
      <c r="A1" s="164" t="s">
        <v>0</v>
      </c>
      <c r="P1" s="16"/>
      <c r="AK1" s="43"/>
      <c r="KU1" s="290" t="s">
        <v>234</v>
      </c>
      <c r="KW1" s="290" t="s">
        <v>234</v>
      </c>
      <c r="KY1" s="290" t="s">
        <v>234</v>
      </c>
      <c r="LA1" s="290" t="s">
        <v>234</v>
      </c>
      <c r="LC1" s="290" t="s">
        <v>234</v>
      </c>
    </row>
    <row r="2" spans="1:394" s="70" customFormat="1" ht="13" customHeight="1">
      <c r="A2" s="114">
        <v>42961</v>
      </c>
      <c r="B2" s="624" t="s">
        <v>338</v>
      </c>
      <c r="C2" s="624"/>
      <c r="D2" s="624"/>
      <c r="E2" s="624"/>
      <c r="F2" s="624"/>
      <c r="G2" s="624"/>
      <c r="H2" s="624"/>
      <c r="I2" s="624"/>
      <c r="J2" s="624"/>
      <c r="K2" s="624"/>
      <c r="L2" s="624"/>
      <c r="M2" s="624"/>
      <c r="N2" s="624"/>
      <c r="O2" s="624"/>
      <c r="P2" s="624"/>
      <c r="Q2" s="624"/>
      <c r="R2" s="624"/>
      <c r="S2" s="624"/>
      <c r="T2" s="624"/>
      <c r="U2" s="624"/>
      <c r="V2" s="624"/>
      <c r="W2" s="624"/>
      <c r="X2" s="624"/>
      <c r="Y2" s="624"/>
      <c r="Z2" s="624"/>
      <c r="AA2" s="624"/>
      <c r="AB2" s="624"/>
      <c r="AC2" s="624"/>
      <c r="AD2" s="624"/>
      <c r="AE2" s="624"/>
      <c r="AF2" s="624"/>
      <c r="AG2" s="624"/>
      <c r="AH2" s="624"/>
      <c r="AI2" s="624"/>
      <c r="AJ2" s="624"/>
      <c r="AK2" s="624"/>
      <c r="AL2" s="624"/>
      <c r="AM2" s="624"/>
      <c r="AN2" s="624"/>
      <c r="AO2" s="624"/>
      <c r="AP2" s="68">
        <f>A2</f>
        <v>42961</v>
      </c>
      <c r="AQ2" s="23"/>
      <c r="AR2" s="23"/>
      <c r="AS2" s="625" t="str">
        <f>B2</f>
        <v xml:space="preserve"> Program  # 847-4  Plant Operating Plan Weekly Summary </v>
      </c>
      <c r="AT2" s="625"/>
      <c r="AU2" s="625"/>
      <c r="AV2" s="625"/>
      <c r="AW2" s="625"/>
      <c r="AX2" s="625"/>
      <c r="AY2" s="625"/>
      <c r="AZ2" s="625"/>
      <c r="BA2" s="625"/>
      <c r="BB2" s="625"/>
      <c r="BC2" s="625"/>
      <c r="BD2" s="625"/>
      <c r="BE2" s="625"/>
      <c r="BF2" s="625"/>
      <c r="BG2" s="625"/>
      <c r="BH2" s="625"/>
      <c r="BI2" s="625"/>
      <c r="BJ2" s="625"/>
      <c r="BK2" s="625"/>
      <c r="BL2" s="625"/>
      <c r="BM2" s="625"/>
      <c r="BN2" s="625"/>
      <c r="BO2" s="625"/>
      <c r="BP2" s="625"/>
      <c r="BQ2" s="625"/>
      <c r="BR2" s="625"/>
      <c r="BS2" s="625"/>
      <c r="BT2" s="625"/>
      <c r="BU2" s="625"/>
      <c r="BV2" s="625"/>
      <c r="BW2" s="625"/>
      <c r="BX2" s="29"/>
      <c r="BY2" s="29"/>
      <c r="BZ2" s="71"/>
      <c r="CB2" s="295"/>
      <c r="EG2" s="295"/>
      <c r="EH2" s="295"/>
      <c r="EI2" s="295"/>
      <c r="EJ2" s="295"/>
      <c r="EK2" s="295"/>
      <c r="EL2" s="295"/>
      <c r="EM2" s="295"/>
      <c r="EN2" s="295"/>
      <c r="EO2" s="295"/>
      <c r="EP2" s="295"/>
      <c r="EQ2" s="295"/>
      <c r="ER2" s="295"/>
      <c r="ES2" s="295"/>
      <c r="ET2" s="295"/>
      <c r="EU2" s="295"/>
      <c r="EV2" s="295"/>
      <c r="EW2" s="295"/>
      <c r="EX2" s="295"/>
      <c r="FA2" s="295"/>
      <c r="FB2" s="295"/>
      <c r="FC2" s="295"/>
      <c r="FD2" s="295"/>
      <c r="FE2" s="295"/>
      <c r="FF2" s="295"/>
      <c r="FG2" s="295"/>
      <c r="FH2" s="295"/>
      <c r="FI2" s="295"/>
      <c r="FJ2" s="295"/>
      <c r="FK2" s="295"/>
      <c r="FL2" s="295"/>
      <c r="FM2" s="295"/>
      <c r="FN2" s="295"/>
      <c r="FO2" s="295"/>
      <c r="FP2" s="295"/>
      <c r="FQ2" s="295"/>
      <c r="FR2" s="295"/>
      <c r="FS2" s="295"/>
      <c r="FT2" s="295"/>
      <c r="FU2" s="295"/>
      <c r="FV2" s="295"/>
      <c r="FW2" s="295"/>
      <c r="FX2" s="295"/>
      <c r="FY2" s="295"/>
      <c r="FZ2" s="295"/>
      <c r="GA2" s="295"/>
      <c r="GB2" s="295"/>
      <c r="GC2" s="295"/>
      <c r="GD2" s="295"/>
      <c r="GE2" s="295"/>
      <c r="GF2" s="295"/>
      <c r="GG2" s="295"/>
      <c r="GH2" s="295"/>
      <c r="GI2" s="295"/>
      <c r="GJ2" s="295"/>
      <c r="GK2" s="295"/>
      <c r="GL2" s="295"/>
      <c r="GM2" s="295"/>
      <c r="GN2" s="295"/>
      <c r="GO2" s="295"/>
      <c r="GP2" s="295"/>
      <c r="GQ2" s="295"/>
      <c r="GR2" s="295"/>
      <c r="GS2" s="295"/>
      <c r="GT2" s="295"/>
      <c r="GU2" s="295"/>
      <c r="GV2" s="295"/>
      <c r="GW2" s="295"/>
      <c r="GX2" s="295"/>
      <c r="GY2" s="295"/>
      <c r="GZ2" s="295"/>
      <c r="HA2" s="295"/>
      <c r="HB2" s="295"/>
      <c r="HC2" s="295"/>
      <c r="HD2" s="295"/>
      <c r="HE2" s="295"/>
      <c r="HF2" s="295"/>
      <c r="HG2" s="295"/>
      <c r="HH2" s="295"/>
      <c r="HI2" s="295"/>
      <c r="HJ2" s="295"/>
      <c r="HK2" s="295"/>
      <c r="HL2" s="295"/>
      <c r="HM2" s="295"/>
      <c r="HN2" s="295"/>
      <c r="HO2" s="295"/>
      <c r="HP2" s="295"/>
      <c r="HQ2" s="295"/>
      <c r="HR2" s="295"/>
      <c r="HS2" s="295"/>
      <c r="HT2" s="295"/>
      <c r="HU2" s="295"/>
      <c r="HV2" s="295"/>
      <c r="HW2" s="295"/>
      <c r="HX2" s="295"/>
      <c r="HY2" s="295"/>
      <c r="HZ2" s="295"/>
      <c r="IA2" s="295"/>
      <c r="IB2" s="295"/>
      <c r="IC2" s="295"/>
      <c r="ID2" s="295"/>
      <c r="IE2" s="295"/>
      <c r="IF2" s="295"/>
      <c r="IG2" s="295"/>
      <c r="IH2" s="295"/>
      <c r="II2" s="295"/>
      <c r="IJ2" s="295"/>
      <c r="IK2" s="295"/>
      <c r="IL2" s="295"/>
      <c r="IM2" s="295"/>
      <c r="IN2" s="295"/>
      <c r="IO2" s="295"/>
      <c r="IP2" s="295"/>
      <c r="IQ2" s="295"/>
      <c r="IR2" s="295"/>
      <c r="IS2" s="295"/>
      <c r="IT2" s="295"/>
      <c r="IU2" s="295"/>
      <c r="IV2" s="295"/>
      <c r="IW2" s="295"/>
      <c r="IX2" s="295"/>
      <c r="IY2" s="295"/>
      <c r="IZ2" s="295"/>
      <c r="JA2" s="295"/>
      <c r="JB2" s="295"/>
      <c r="JC2" s="295"/>
      <c r="JD2" s="295"/>
      <c r="JE2" s="295"/>
      <c r="JF2" s="295"/>
      <c r="JG2" s="295"/>
      <c r="JH2" s="295"/>
      <c r="JI2" s="295"/>
      <c r="JJ2" s="295"/>
      <c r="JK2" s="295"/>
      <c r="JL2" s="295"/>
      <c r="JM2" s="295"/>
      <c r="JN2" s="295"/>
      <c r="JO2" s="295"/>
      <c r="JP2" s="295"/>
      <c r="JQ2" s="295"/>
      <c r="JR2" s="295"/>
      <c r="JS2" s="295"/>
      <c r="JT2" s="295"/>
      <c r="JU2" s="295"/>
      <c r="JV2" s="295"/>
      <c r="JW2" s="295"/>
      <c r="JX2" s="295"/>
      <c r="JY2" s="295"/>
      <c r="JZ2" s="295"/>
      <c r="KA2" s="295"/>
      <c r="KB2" s="295"/>
      <c r="KC2" s="295"/>
      <c r="KD2" s="295"/>
      <c r="KE2" s="295"/>
      <c r="KF2" s="295"/>
      <c r="KG2" s="295"/>
      <c r="KH2" s="295"/>
      <c r="KI2" s="295"/>
      <c r="KJ2" s="295"/>
      <c r="KK2" s="295"/>
      <c r="KL2" s="295"/>
      <c r="KM2" s="295"/>
      <c r="KN2" s="295"/>
      <c r="KO2" s="295"/>
      <c r="KP2" s="295"/>
      <c r="KQ2" s="295"/>
      <c r="KR2" s="295"/>
      <c r="KS2" s="295"/>
      <c r="KT2" s="295"/>
      <c r="KU2" s="295"/>
      <c r="KV2" s="295"/>
      <c r="KW2" s="295"/>
      <c r="KX2" s="295"/>
      <c r="KY2" s="295"/>
      <c r="KZ2" s="295"/>
      <c r="LA2" s="295"/>
      <c r="LB2" s="295"/>
      <c r="LC2" s="295"/>
      <c r="LD2" s="295"/>
      <c r="LE2" s="295"/>
      <c r="LF2" s="295"/>
      <c r="LG2" s="295"/>
      <c r="LH2" s="295"/>
      <c r="LI2" s="295"/>
      <c r="LJ2" s="295"/>
      <c r="LK2" s="295"/>
      <c r="LL2" s="295"/>
      <c r="LM2" s="295"/>
      <c r="LN2" s="295"/>
      <c r="LO2" s="295"/>
      <c r="LP2" s="295"/>
      <c r="LQ2" s="295"/>
      <c r="LR2" s="295"/>
      <c r="LS2" s="295"/>
      <c r="LT2" s="295"/>
      <c r="LU2" s="295"/>
      <c r="LV2" s="295"/>
      <c r="LW2" s="295"/>
      <c r="LX2" s="295"/>
      <c r="LY2" s="295"/>
      <c r="LZ2" s="295"/>
      <c r="MA2" s="295"/>
      <c r="MB2" s="295"/>
      <c r="MC2" s="295"/>
      <c r="MD2" s="295"/>
      <c r="ME2" s="295"/>
      <c r="MF2" s="295"/>
      <c r="MG2" s="295"/>
      <c r="MH2" s="295"/>
      <c r="MI2" s="295"/>
      <c r="MJ2" s="295"/>
      <c r="MK2" s="295"/>
      <c r="ML2" s="295"/>
      <c r="MM2" s="295"/>
      <c r="MN2" s="295"/>
      <c r="MO2" s="295"/>
      <c r="MP2" s="295"/>
      <c r="MQ2" s="295"/>
      <c r="MR2" s="295"/>
      <c r="MS2" s="295"/>
      <c r="MT2" s="295"/>
      <c r="MU2" s="295"/>
      <c r="MV2" s="295"/>
      <c r="MW2" s="295"/>
      <c r="MX2" s="295"/>
      <c r="MY2" s="295"/>
      <c r="MZ2" s="295"/>
      <c r="NA2" s="295"/>
      <c r="NB2" s="295"/>
      <c r="NC2" s="295"/>
      <c r="ND2" s="295"/>
      <c r="NE2" s="295"/>
      <c r="NF2" s="295"/>
      <c r="NG2" s="295"/>
      <c r="NH2" s="295"/>
      <c r="NI2" s="295"/>
      <c r="NJ2" s="295"/>
      <c r="NK2" s="295"/>
      <c r="NL2" s="295"/>
      <c r="NM2" s="295"/>
      <c r="NN2" s="295"/>
      <c r="NO2" s="295"/>
      <c r="NP2" s="295"/>
      <c r="NQ2" s="295"/>
      <c r="NR2" s="295"/>
      <c r="NS2" s="295"/>
      <c r="NT2" s="295"/>
      <c r="NU2" s="295"/>
      <c r="NV2" s="295"/>
      <c r="NW2" s="295"/>
      <c r="NX2" s="295"/>
      <c r="NY2" s="295"/>
      <c r="NZ2" s="295"/>
      <c r="OA2" s="295"/>
      <c r="OB2" s="295"/>
      <c r="OC2" s="295"/>
      <c r="OD2" s="295"/>
    </row>
    <row r="3" spans="1:394" s="70" customFormat="1" ht="3.75" customHeight="1">
      <c r="A3" s="115"/>
      <c r="B3" s="23"/>
      <c r="C3" s="23"/>
      <c r="D3" s="63"/>
      <c r="E3" s="64"/>
      <c r="F3" s="64"/>
      <c r="G3" s="64"/>
      <c r="H3" s="64"/>
      <c r="I3" s="64"/>
      <c r="J3" s="65"/>
      <c r="L3" s="64"/>
      <c r="M3" s="65"/>
      <c r="N3" s="65"/>
      <c r="O3" s="64"/>
      <c r="P3" s="65"/>
      <c r="Q3" s="65"/>
      <c r="R3" s="64"/>
      <c r="S3" s="65"/>
      <c r="T3" s="65"/>
      <c r="U3" s="64"/>
      <c r="V3" s="65"/>
      <c r="W3" s="65"/>
      <c r="X3" s="64"/>
      <c r="Y3" s="65"/>
      <c r="Z3" s="65"/>
      <c r="AA3" s="64"/>
      <c r="AB3" s="65"/>
      <c r="AC3" s="65"/>
      <c r="AD3" s="64"/>
      <c r="AE3" s="64"/>
      <c r="AF3" s="66"/>
      <c r="AG3" s="65"/>
      <c r="AH3" s="18"/>
      <c r="AI3" s="29"/>
      <c r="AJ3" s="29"/>
      <c r="AK3" s="67"/>
      <c r="AL3" s="41"/>
      <c r="AM3" s="29"/>
      <c r="AN3" s="17"/>
      <c r="AO3" s="29"/>
      <c r="AP3" s="68"/>
      <c r="AQ3" s="23"/>
      <c r="AR3" s="23"/>
      <c r="AS3" s="69"/>
      <c r="AT3" s="29"/>
      <c r="AU3" s="29"/>
      <c r="AV3" s="67"/>
      <c r="AW3" s="29"/>
      <c r="AX3" s="29"/>
      <c r="AY3" s="29"/>
      <c r="AZ3" s="67"/>
      <c r="BA3" s="29"/>
      <c r="BB3" s="67"/>
      <c r="BC3" s="29"/>
      <c r="BD3" s="29"/>
      <c r="BE3" s="67"/>
      <c r="BF3" s="29"/>
      <c r="BG3" s="29"/>
      <c r="BH3" s="67"/>
      <c r="BI3" s="29"/>
      <c r="BJ3" s="29"/>
      <c r="BK3" s="67"/>
      <c r="BL3" s="29"/>
      <c r="BM3" s="29"/>
      <c r="BN3" s="67"/>
      <c r="BO3" s="29"/>
      <c r="BP3" s="29"/>
      <c r="BQ3" s="67"/>
      <c r="BR3" s="29"/>
      <c r="BS3" s="67"/>
      <c r="BT3" s="29"/>
      <c r="BU3" s="29"/>
      <c r="BV3" s="29"/>
      <c r="BW3" s="67"/>
      <c r="BX3" s="29"/>
      <c r="BY3" s="29"/>
      <c r="BZ3" s="71"/>
      <c r="CB3" s="295"/>
      <c r="EG3" s="295"/>
      <c r="EH3" s="295"/>
      <c r="EI3" s="295"/>
      <c r="EJ3" s="295"/>
      <c r="EK3" s="295"/>
      <c r="EL3" s="295"/>
      <c r="EM3" s="295"/>
      <c r="EN3" s="295"/>
      <c r="EO3" s="295"/>
      <c r="EP3" s="295"/>
      <c r="EQ3" s="295"/>
      <c r="ER3" s="295"/>
      <c r="ES3" s="295"/>
      <c r="ET3" s="295"/>
      <c r="EU3" s="295"/>
      <c r="EV3" s="295"/>
      <c r="EW3" s="295"/>
      <c r="EX3" s="295"/>
      <c r="FA3" s="295"/>
      <c r="FB3" s="295"/>
      <c r="FC3" s="295"/>
      <c r="FD3" s="295"/>
      <c r="FE3" s="295"/>
      <c r="FF3" s="295"/>
      <c r="FG3" s="295"/>
      <c r="FH3" s="295"/>
      <c r="FI3" s="295"/>
      <c r="FJ3" s="295"/>
      <c r="FK3" s="295"/>
      <c r="FL3" s="295"/>
      <c r="FM3" s="295"/>
      <c r="FN3" s="295"/>
      <c r="FO3" s="295"/>
      <c r="FP3" s="295"/>
      <c r="FQ3" s="295"/>
      <c r="FR3" s="295"/>
      <c r="FS3" s="295"/>
      <c r="FT3" s="295"/>
      <c r="FU3" s="295"/>
      <c r="FV3" s="295"/>
      <c r="FW3" s="295"/>
      <c r="FX3" s="295"/>
      <c r="FY3" s="295"/>
      <c r="FZ3" s="295"/>
      <c r="GA3" s="295"/>
      <c r="GB3" s="295"/>
      <c r="GC3" s="295"/>
      <c r="GD3" s="295"/>
      <c r="GE3" s="295"/>
      <c r="GF3" s="295"/>
      <c r="GG3" s="295"/>
      <c r="GH3" s="295"/>
      <c r="GI3" s="295"/>
      <c r="GJ3" s="295"/>
      <c r="GK3" s="295"/>
      <c r="GL3" s="295"/>
      <c r="GM3" s="295"/>
      <c r="GN3" s="295"/>
      <c r="GO3" s="295"/>
      <c r="GP3" s="295"/>
      <c r="GQ3" s="295"/>
      <c r="GR3" s="295"/>
      <c r="GS3" s="295"/>
      <c r="GT3" s="295"/>
      <c r="GU3" s="295"/>
      <c r="GV3" s="295"/>
      <c r="GW3" s="295"/>
      <c r="GX3" s="295"/>
      <c r="GY3" s="295"/>
      <c r="GZ3" s="295"/>
      <c r="HA3" s="295"/>
      <c r="HB3" s="295"/>
      <c r="HC3" s="295"/>
      <c r="HD3" s="295"/>
      <c r="HE3" s="295"/>
      <c r="HF3" s="295"/>
      <c r="HG3" s="295"/>
      <c r="HH3" s="295"/>
      <c r="HI3" s="295"/>
      <c r="HJ3" s="295"/>
      <c r="HK3" s="295"/>
      <c r="HL3" s="295"/>
      <c r="HM3" s="295"/>
      <c r="HN3" s="295"/>
      <c r="HO3" s="295"/>
      <c r="HP3" s="295"/>
      <c r="HQ3" s="295"/>
      <c r="HR3" s="295"/>
      <c r="HS3" s="295"/>
      <c r="HT3" s="295"/>
      <c r="HU3" s="295"/>
      <c r="HV3" s="295"/>
      <c r="HW3" s="295"/>
      <c r="HX3" s="295"/>
      <c r="HY3" s="295"/>
      <c r="HZ3" s="295"/>
      <c r="IA3" s="295"/>
      <c r="IB3" s="295"/>
      <c r="IC3" s="295"/>
      <c r="ID3" s="295"/>
      <c r="IE3" s="295"/>
      <c r="IF3" s="295"/>
      <c r="IG3" s="295"/>
      <c r="IH3" s="295"/>
      <c r="II3" s="295"/>
      <c r="IJ3" s="295"/>
      <c r="IK3" s="295"/>
      <c r="IL3" s="295"/>
      <c r="IM3" s="295"/>
      <c r="IN3" s="295"/>
      <c r="IO3" s="295"/>
      <c r="IP3" s="295"/>
      <c r="IQ3" s="295"/>
      <c r="IR3" s="295"/>
      <c r="IS3" s="295"/>
      <c r="IT3" s="295"/>
      <c r="IU3" s="295"/>
      <c r="IV3" s="295"/>
      <c r="IW3" s="295"/>
      <c r="IX3" s="295"/>
      <c r="IY3" s="295"/>
      <c r="IZ3" s="295"/>
      <c r="JA3" s="295"/>
      <c r="JB3" s="295"/>
      <c r="JC3" s="295"/>
      <c r="JD3" s="295"/>
      <c r="JE3" s="295"/>
      <c r="JF3" s="295"/>
      <c r="JG3" s="295"/>
      <c r="JH3" s="295"/>
      <c r="JI3" s="295"/>
      <c r="JJ3" s="295"/>
      <c r="JK3" s="295"/>
      <c r="JL3" s="295"/>
      <c r="JM3" s="295"/>
      <c r="JN3" s="295"/>
      <c r="JO3" s="295"/>
      <c r="JP3" s="295"/>
      <c r="JQ3" s="295"/>
      <c r="JR3" s="295"/>
      <c r="JS3" s="295"/>
      <c r="JT3" s="295"/>
      <c r="JU3" s="295"/>
      <c r="JV3" s="295"/>
      <c r="JW3" s="295"/>
      <c r="JX3" s="295"/>
      <c r="JY3" s="295"/>
      <c r="JZ3" s="295"/>
      <c r="KA3" s="295"/>
      <c r="KB3" s="295"/>
      <c r="KC3" s="295"/>
      <c r="KD3" s="295"/>
      <c r="KE3" s="295"/>
      <c r="KF3" s="295"/>
      <c r="KG3" s="295"/>
      <c r="KH3" s="295"/>
      <c r="KI3" s="295"/>
      <c r="KJ3" s="295"/>
      <c r="KK3" s="295"/>
      <c r="KL3" s="295"/>
      <c r="KM3" s="295"/>
      <c r="KN3" s="295"/>
      <c r="KO3" s="295"/>
      <c r="KP3" s="295"/>
      <c r="KQ3" s="295"/>
      <c r="KR3" s="295"/>
      <c r="KS3" s="295"/>
      <c r="KT3" s="295"/>
      <c r="KU3" s="295"/>
      <c r="KV3" s="295"/>
      <c r="KW3" s="295"/>
      <c r="KX3" s="295"/>
      <c r="KY3" s="295"/>
      <c r="KZ3" s="295"/>
      <c r="LA3" s="295"/>
      <c r="LB3" s="295"/>
      <c r="LC3" s="295"/>
      <c r="LD3" s="295"/>
      <c r="LE3" s="295"/>
      <c r="LF3" s="295"/>
      <c r="LG3" s="295"/>
      <c r="LH3" s="295"/>
      <c r="LI3" s="295"/>
      <c r="LJ3" s="295"/>
      <c r="LK3" s="295"/>
      <c r="LL3" s="295"/>
      <c r="LM3" s="295"/>
      <c r="LN3" s="295"/>
      <c r="LO3" s="295"/>
      <c r="LP3" s="295"/>
      <c r="LQ3" s="295"/>
      <c r="LR3" s="295"/>
      <c r="LS3" s="295"/>
      <c r="LT3" s="295"/>
      <c r="LU3" s="295"/>
      <c r="LV3" s="295"/>
      <c r="LW3" s="295"/>
      <c r="LX3" s="295"/>
      <c r="LY3" s="295"/>
      <c r="LZ3" s="295"/>
      <c r="MA3" s="295"/>
      <c r="MB3" s="295"/>
      <c r="MC3" s="295"/>
      <c r="MD3" s="295"/>
      <c r="ME3" s="295"/>
      <c r="MF3" s="295"/>
      <c r="MG3" s="295"/>
      <c r="MH3" s="295"/>
      <c r="MI3" s="295"/>
      <c r="MJ3" s="295"/>
      <c r="MK3" s="295"/>
      <c r="ML3" s="295"/>
      <c r="MM3" s="295"/>
      <c r="MN3" s="295"/>
      <c r="MO3" s="295"/>
      <c r="MP3" s="295"/>
      <c r="MQ3" s="295"/>
      <c r="MR3" s="295"/>
      <c r="MS3" s="295"/>
      <c r="MT3" s="295"/>
      <c r="MU3" s="295"/>
      <c r="MV3" s="295"/>
      <c r="MW3" s="295"/>
      <c r="MX3" s="295"/>
      <c r="MY3" s="295"/>
      <c r="MZ3" s="295"/>
      <c r="NA3" s="295"/>
      <c r="NB3" s="295"/>
      <c r="NC3" s="295"/>
      <c r="ND3" s="295"/>
      <c r="NE3" s="295"/>
      <c r="NF3" s="295"/>
      <c r="NG3" s="295"/>
      <c r="NH3" s="295"/>
      <c r="NI3" s="295"/>
      <c r="NJ3" s="295"/>
      <c r="NK3" s="295"/>
      <c r="NL3" s="295"/>
      <c r="NM3" s="295"/>
      <c r="NN3" s="295"/>
      <c r="NO3" s="295"/>
      <c r="NP3" s="295"/>
      <c r="NQ3" s="295"/>
      <c r="NR3" s="295"/>
      <c r="NS3" s="295"/>
      <c r="NT3" s="295"/>
      <c r="NU3" s="295"/>
      <c r="NV3" s="295"/>
      <c r="NW3" s="295"/>
      <c r="NX3" s="295"/>
      <c r="NY3" s="295"/>
      <c r="NZ3" s="295"/>
      <c r="OA3" s="295"/>
      <c r="OB3" s="295"/>
      <c r="OC3" s="295"/>
      <c r="OD3" s="295"/>
    </row>
    <row r="4" spans="1:394" s="70" customFormat="1" ht="9.75" customHeight="1">
      <c r="A4" s="116"/>
      <c r="B4" s="23"/>
      <c r="C4" s="23"/>
      <c r="D4" s="628" t="s">
        <v>147</v>
      </c>
      <c r="E4" s="628"/>
      <c r="F4" s="628"/>
      <c r="G4" s="628"/>
      <c r="H4" s="628"/>
      <c r="I4" s="628"/>
      <c r="J4" s="628"/>
      <c r="K4" s="628"/>
      <c r="L4" s="628"/>
      <c r="M4" s="65"/>
      <c r="N4" s="65"/>
      <c r="O4" s="64"/>
      <c r="P4" s="65"/>
      <c r="Q4" s="65"/>
      <c r="R4" s="64"/>
      <c r="S4" s="65"/>
      <c r="T4" s="65"/>
      <c r="U4" s="64"/>
      <c r="V4" s="65"/>
      <c r="W4" s="65"/>
      <c r="X4" s="64"/>
      <c r="Y4" s="65"/>
      <c r="Z4" s="65"/>
      <c r="AA4" s="64"/>
      <c r="AB4" s="65"/>
      <c r="AC4" s="65"/>
      <c r="AD4" s="64"/>
      <c r="AE4" s="64"/>
      <c r="AF4" s="66"/>
      <c r="AG4" s="65"/>
      <c r="AH4" s="18"/>
      <c r="AI4" s="29"/>
      <c r="AJ4" s="29"/>
      <c r="AK4" s="67"/>
      <c r="AL4" s="41"/>
      <c r="AM4" s="29"/>
      <c r="AN4" s="291"/>
      <c r="AO4" s="29"/>
      <c r="AP4" s="68"/>
      <c r="AQ4" s="23"/>
      <c r="AR4" s="23"/>
      <c r="AS4" s="69"/>
      <c r="AT4" s="29"/>
      <c r="AU4" s="29"/>
      <c r="AV4" s="67"/>
      <c r="AW4" s="29"/>
      <c r="AX4" s="29"/>
      <c r="AY4" s="29"/>
      <c r="AZ4" s="67"/>
      <c r="BA4" s="29"/>
      <c r="BB4" s="67"/>
      <c r="BC4" s="29"/>
      <c r="BD4" s="29"/>
      <c r="BE4" s="67"/>
      <c r="BF4" s="29"/>
      <c r="BG4" s="29"/>
      <c r="BH4" s="67"/>
      <c r="BI4" s="29"/>
      <c r="BJ4" s="29"/>
      <c r="BK4" s="67"/>
      <c r="BL4" s="29"/>
      <c r="BM4" s="29"/>
      <c r="BN4" s="67"/>
      <c r="BO4" s="29"/>
      <c r="BP4" s="29"/>
      <c r="BQ4" s="67"/>
      <c r="BR4" s="29"/>
      <c r="BS4" s="67"/>
      <c r="BT4" s="29"/>
      <c r="BU4" s="29"/>
      <c r="BV4" s="29"/>
      <c r="BW4" s="67"/>
      <c r="BX4" s="29"/>
      <c r="BY4" s="29"/>
      <c r="BZ4" s="71"/>
      <c r="CB4" s="295"/>
      <c r="EG4" s="295"/>
      <c r="EH4" s="295"/>
      <c r="EI4" s="295"/>
      <c r="EJ4" s="295"/>
      <c r="EK4" s="295"/>
      <c r="EL4" s="295"/>
      <c r="EM4" s="295"/>
      <c r="EN4" s="295"/>
      <c r="EO4" s="295"/>
      <c r="EP4" s="295"/>
      <c r="EQ4" s="295"/>
      <c r="ER4" s="295"/>
      <c r="ES4" s="295"/>
      <c r="ET4" s="295"/>
      <c r="EU4" s="295"/>
      <c r="EV4" s="295"/>
      <c r="EW4" s="295"/>
      <c r="EX4" s="295"/>
      <c r="FA4" s="295"/>
      <c r="FB4" s="295"/>
      <c r="FC4" s="295"/>
      <c r="FD4" s="295"/>
      <c r="FE4" s="295"/>
      <c r="FF4" s="295"/>
      <c r="FG4" s="295"/>
      <c r="FH4" s="295"/>
      <c r="FI4" s="295"/>
      <c r="FJ4" s="295"/>
      <c r="FK4" s="295"/>
      <c r="FL4" s="295"/>
      <c r="FM4" s="295"/>
      <c r="FN4" s="295"/>
      <c r="FO4" s="295"/>
      <c r="FP4" s="295"/>
      <c r="FQ4" s="295"/>
      <c r="FR4" s="295"/>
      <c r="FS4" s="295"/>
      <c r="FT4" s="295"/>
      <c r="FU4" s="295"/>
      <c r="FV4" s="295"/>
      <c r="FW4" s="295"/>
      <c r="FX4" s="295"/>
      <c r="FY4" s="295"/>
      <c r="FZ4" s="295"/>
      <c r="GA4" s="295"/>
      <c r="GB4" s="295"/>
      <c r="GC4" s="295"/>
      <c r="GD4" s="295"/>
      <c r="GE4" s="295"/>
      <c r="GF4" s="295"/>
      <c r="GG4" s="295"/>
      <c r="GH4" s="295"/>
      <c r="GI4" s="295"/>
      <c r="GJ4" s="295"/>
      <c r="GK4" s="295"/>
      <c r="GL4" s="295"/>
      <c r="GM4" s="295"/>
      <c r="GN4" s="295"/>
      <c r="GO4" s="295"/>
      <c r="GP4" s="295"/>
      <c r="GQ4" s="295"/>
      <c r="GR4" s="295"/>
      <c r="GS4" s="295"/>
      <c r="GT4" s="295"/>
      <c r="GU4" s="295"/>
      <c r="GV4" s="295"/>
      <c r="GW4" s="295"/>
      <c r="GX4" s="295"/>
      <c r="GY4" s="295"/>
      <c r="GZ4" s="295"/>
      <c r="HA4" s="295"/>
      <c r="HB4" s="295"/>
      <c r="HC4" s="295"/>
      <c r="HD4" s="295"/>
      <c r="HE4" s="295"/>
      <c r="HF4" s="295"/>
      <c r="HG4" s="295"/>
      <c r="HH4" s="295"/>
      <c r="HI4" s="295"/>
      <c r="HJ4" s="295"/>
      <c r="HK4" s="295"/>
      <c r="HL4" s="295"/>
      <c r="HM4" s="295"/>
      <c r="HN4" s="295"/>
      <c r="HO4" s="295"/>
      <c r="HP4" s="295"/>
      <c r="HQ4" s="295"/>
      <c r="HR4" s="295"/>
      <c r="HS4" s="295"/>
      <c r="HT4" s="295"/>
      <c r="HU4" s="295"/>
      <c r="HV4" s="295"/>
      <c r="HW4" s="295"/>
      <c r="HX4" s="295"/>
      <c r="HY4" s="295"/>
      <c r="HZ4" s="295"/>
      <c r="IA4" s="295"/>
      <c r="IB4" s="295"/>
      <c r="IC4" s="295"/>
      <c r="ID4" s="295"/>
      <c r="IE4" s="295"/>
      <c r="IF4" s="295"/>
      <c r="IG4" s="295"/>
      <c r="IH4" s="295"/>
      <c r="II4" s="295"/>
      <c r="IJ4" s="295"/>
      <c r="IK4" s="295"/>
      <c r="IL4" s="295"/>
      <c r="IM4" s="295"/>
      <c r="IN4" s="295"/>
      <c r="IO4" s="295"/>
      <c r="IP4" s="295"/>
      <c r="IQ4" s="295"/>
      <c r="IR4" s="295"/>
      <c r="IS4" s="295"/>
      <c r="IT4" s="295"/>
      <c r="IU4" s="295"/>
      <c r="IV4" s="295"/>
      <c r="IW4" s="295"/>
      <c r="IX4" s="295"/>
      <c r="IY4" s="295"/>
      <c r="IZ4" s="295"/>
      <c r="JA4" s="295"/>
      <c r="JB4" s="295"/>
      <c r="JC4" s="295"/>
      <c r="JD4" s="295"/>
      <c r="JE4" s="295"/>
      <c r="JF4" s="295"/>
      <c r="JG4" s="295"/>
      <c r="JH4" s="295"/>
      <c r="JI4" s="295"/>
      <c r="JJ4" s="295"/>
      <c r="JK4" s="295"/>
      <c r="JL4" s="295"/>
      <c r="JM4" s="295"/>
      <c r="JN4" s="295"/>
      <c r="JO4" s="295"/>
      <c r="JP4" s="295"/>
      <c r="JQ4" s="295"/>
      <c r="JR4" s="295"/>
      <c r="JS4" s="295"/>
      <c r="JT4" s="295"/>
      <c r="JU4" s="295"/>
      <c r="JV4" s="295"/>
      <c r="JW4" s="295"/>
      <c r="JX4" s="295"/>
      <c r="JY4" s="295"/>
      <c r="JZ4" s="295"/>
      <c r="KA4" s="295"/>
      <c r="KB4" s="295"/>
      <c r="KC4" s="295"/>
      <c r="KD4" s="295"/>
      <c r="KE4" s="295"/>
      <c r="KF4" s="295"/>
      <c r="KG4" s="295"/>
      <c r="KH4" s="295"/>
      <c r="KI4" s="295"/>
      <c r="KJ4" s="295"/>
      <c r="KK4" s="295"/>
      <c r="KL4" s="295"/>
      <c r="KM4" s="295"/>
      <c r="KN4" s="295"/>
      <c r="KO4" s="295"/>
      <c r="KP4" s="295"/>
      <c r="KQ4" s="295"/>
      <c r="KR4" s="295"/>
      <c r="KS4" s="295"/>
      <c r="KT4" s="295"/>
      <c r="KU4" s="295"/>
      <c r="KV4" s="295"/>
      <c r="KW4" s="295"/>
      <c r="KX4" s="295"/>
      <c r="KY4" s="295"/>
      <c r="KZ4" s="295"/>
      <c r="LA4" s="295"/>
      <c r="LB4" s="295"/>
      <c r="LC4" s="295"/>
      <c r="LD4" s="295"/>
      <c r="LE4" s="295"/>
      <c r="LF4" s="295"/>
      <c r="LG4" s="295"/>
      <c r="LH4" s="295"/>
      <c r="LI4" s="295"/>
      <c r="LJ4" s="295"/>
      <c r="LK4" s="295"/>
      <c r="LL4" s="295"/>
      <c r="LM4" s="295"/>
      <c r="LN4" s="295"/>
      <c r="LO4" s="295"/>
      <c r="LP4" s="295"/>
      <c r="LQ4" s="295"/>
      <c r="LR4" s="295"/>
      <c r="LS4" s="295"/>
      <c r="LT4" s="295"/>
      <c r="LU4" s="295"/>
      <c r="LV4" s="295"/>
      <c r="LW4" s="295"/>
      <c r="LX4" s="295"/>
      <c r="LY4" s="295"/>
      <c r="LZ4" s="295"/>
      <c r="MA4" s="295"/>
      <c r="MB4" s="295"/>
      <c r="MC4" s="295"/>
      <c r="MD4" s="295"/>
      <c r="ME4" s="295"/>
      <c r="MF4" s="295"/>
      <c r="MG4" s="295"/>
      <c r="MH4" s="295"/>
      <c r="MI4" s="295"/>
      <c r="MJ4" s="295"/>
      <c r="MK4" s="295"/>
      <c r="ML4" s="295"/>
      <c r="MM4" s="295"/>
      <c r="MN4" s="295"/>
      <c r="MO4" s="295"/>
      <c r="MP4" s="295"/>
      <c r="MQ4" s="295"/>
      <c r="MR4" s="295"/>
      <c r="MS4" s="295"/>
      <c r="MT4" s="295"/>
      <c r="MU4" s="295"/>
      <c r="MV4" s="295"/>
      <c r="MW4" s="295"/>
      <c r="MX4" s="295"/>
      <c r="MY4" s="295"/>
      <c r="MZ4" s="295"/>
      <c r="NA4" s="295"/>
      <c r="NB4" s="295"/>
      <c r="NC4" s="295"/>
      <c r="ND4" s="295"/>
      <c r="NE4" s="295"/>
      <c r="NF4" s="295"/>
      <c r="NG4" s="295"/>
      <c r="NH4" s="295"/>
      <c r="NI4" s="295"/>
      <c r="NJ4" s="295"/>
      <c r="NK4" s="295"/>
      <c r="NL4" s="295"/>
      <c r="NM4" s="295"/>
      <c r="NN4" s="295"/>
      <c r="NO4" s="295"/>
      <c r="NP4" s="295"/>
      <c r="NQ4" s="295"/>
      <c r="NR4" s="295"/>
      <c r="NS4" s="295"/>
      <c r="NT4" s="295"/>
      <c r="NU4" s="295"/>
      <c r="NV4" s="295"/>
      <c r="NW4" s="295"/>
      <c r="NX4" s="295"/>
      <c r="NY4" s="295"/>
      <c r="NZ4" s="295"/>
      <c r="OA4" s="295"/>
      <c r="OB4" s="295"/>
      <c r="OC4" s="295"/>
      <c r="OD4" s="295"/>
    </row>
    <row r="5" spans="1:394" s="70" customFormat="1" ht="10.5" customHeight="1">
      <c r="A5" s="117"/>
      <c r="B5" s="31"/>
      <c r="C5" s="13"/>
      <c r="D5" s="628" t="s">
        <v>148</v>
      </c>
      <c r="E5" s="628"/>
      <c r="F5" s="628"/>
      <c r="G5" s="628"/>
      <c r="H5" s="628"/>
      <c r="I5" s="628"/>
      <c r="J5" s="628"/>
      <c r="K5" s="628"/>
      <c r="L5" s="628"/>
      <c r="M5" s="644" t="s">
        <v>55</v>
      </c>
      <c r="N5" s="644"/>
      <c r="O5" s="644"/>
      <c r="P5" s="644"/>
      <c r="Q5" s="644"/>
      <c r="R5" s="644"/>
      <c r="S5" s="644"/>
      <c r="T5" s="644"/>
      <c r="U5" s="644"/>
      <c r="V5" s="644"/>
      <c r="W5" s="644"/>
      <c r="X5" s="644"/>
      <c r="Y5" s="644"/>
      <c r="Z5" s="644"/>
      <c r="AA5" s="644"/>
      <c r="AB5" s="644"/>
      <c r="AC5" s="644"/>
      <c r="AD5" s="644"/>
      <c r="AE5" s="644"/>
      <c r="AF5" s="644"/>
      <c r="AG5" s="644"/>
      <c r="AH5" s="644"/>
      <c r="AI5" s="644"/>
      <c r="AJ5" s="644"/>
      <c r="AK5" s="644"/>
      <c r="AL5" s="644"/>
      <c r="AM5" s="644"/>
      <c r="AN5" s="644"/>
      <c r="AO5" s="644"/>
      <c r="AP5" s="627"/>
      <c r="AQ5" s="627"/>
      <c r="AR5" s="627"/>
      <c r="AS5" s="627"/>
      <c r="AT5" s="627"/>
      <c r="AU5" s="89"/>
      <c r="AV5" s="86"/>
      <c r="AW5" s="87"/>
      <c r="AX5" s="87"/>
      <c r="AY5" s="85"/>
      <c r="AZ5" s="85"/>
      <c r="BA5" s="85"/>
      <c r="BB5" s="85"/>
      <c r="BC5" s="85"/>
      <c r="BD5" s="85"/>
      <c r="BE5" s="85"/>
      <c r="BF5" s="85"/>
      <c r="BG5" s="85"/>
      <c r="BH5" s="85"/>
      <c r="BI5" s="85"/>
      <c r="BJ5" s="85"/>
      <c r="BK5" s="85"/>
      <c r="BL5" s="85"/>
      <c r="BM5" s="85"/>
      <c r="BN5" s="85"/>
      <c r="BO5" s="85"/>
      <c r="BP5" s="85"/>
      <c r="BQ5" s="85"/>
      <c r="BR5" s="85"/>
      <c r="BS5" s="13"/>
      <c r="BT5" s="13"/>
      <c r="BU5" s="13"/>
      <c r="BV5" s="13"/>
      <c r="BW5" s="13"/>
      <c r="BZ5" s="13"/>
      <c r="CB5" s="295"/>
      <c r="EG5" s="295"/>
      <c r="EH5" s="295"/>
      <c r="EI5" s="295"/>
      <c r="EJ5" s="295"/>
      <c r="EK5" s="295"/>
      <c r="EL5" s="295"/>
      <c r="EM5" s="295"/>
      <c r="EN5" s="295"/>
      <c r="EO5" s="295"/>
      <c r="EP5" s="295"/>
      <c r="EQ5" s="295"/>
      <c r="ER5" s="295"/>
      <c r="ES5" s="295"/>
      <c r="ET5" s="295"/>
      <c r="EU5" s="295"/>
      <c r="EV5" s="295"/>
      <c r="EW5" s="295"/>
      <c r="EX5" s="295"/>
      <c r="FA5" s="295"/>
      <c r="FB5" s="295"/>
      <c r="FC5" s="295"/>
      <c r="FD5" s="295"/>
      <c r="FE5" s="295"/>
      <c r="FF5" s="295"/>
      <c r="FG5" s="295"/>
      <c r="FH5" s="295"/>
      <c r="FI5" s="295"/>
      <c r="FJ5" s="295"/>
      <c r="FK5" s="295"/>
      <c r="FL5" s="295"/>
      <c r="FM5" s="295"/>
      <c r="FN5" s="295"/>
      <c r="FO5" s="295"/>
      <c r="FP5" s="295"/>
      <c r="FQ5" s="295"/>
      <c r="FR5" s="295"/>
      <c r="FS5" s="295"/>
      <c r="FT5" s="295"/>
      <c r="FU5" s="295"/>
      <c r="FV5" s="295"/>
      <c r="FW5" s="295"/>
      <c r="FX5" s="295"/>
      <c r="FY5" s="295"/>
      <c r="FZ5" s="295"/>
      <c r="GA5" s="295"/>
      <c r="GB5" s="295"/>
      <c r="GC5" s="295"/>
      <c r="GD5" s="295"/>
      <c r="GE5" s="295"/>
      <c r="GF5" s="295"/>
      <c r="GG5" s="295"/>
      <c r="GH5" s="295"/>
      <c r="GI5" s="295"/>
      <c r="GJ5" s="295"/>
      <c r="GK5" s="295"/>
      <c r="GL5" s="295"/>
      <c r="GM5" s="295"/>
      <c r="GN5" s="295"/>
      <c r="GO5" s="295"/>
      <c r="GP5" s="295"/>
      <c r="GQ5" s="295"/>
      <c r="GR5" s="295"/>
      <c r="GS5" s="295"/>
      <c r="GT5" s="295"/>
      <c r="GU5" s="295"/>
      <c r="GV5" s="295"/>
      <c r="GW5" s="295"/>
      <c r="GX5" s="295"/>
      <c r="GY5" s="295"/>
      <c r="GZ5" s="295"/>
      <c r="HA5" s="295"/>
      <c r="HB5" s="295"/>
      <c r="HC5" s="295"/>
      <c r="HD5" s="295"/>
      <c r="HE5" s="295"/>
      <c r="HF5" s="295"/>
      <c r="HG5" s="295"/>
      <c r="HH5" s="295"/>
      <c r="HI5" s="295"/>
      <c r="HJ5" s="295"/>
      <c r="HK5" s="295"/>
      <c r="HL5" s="295"/>
      <c r="HM5" s="295"/>
      <c r="HN5" s="295"/>
      <c r="HO5" s="295"/>
      <c r="HP5" s="295"/>
      <c r="HQ5" s="295"/>
      <c r="HR5" s="295"/>
      <c r="HS5" s="295"/>
      <c r="HT5" s="295"/>
      <c r="HU5" s="295"/>
      <c r="HV5" s="295"/>
      <c r="HW5" s="295"/>
      <c r="HX5" s="295"/>
      <c r="HY5" s="295"/>
      <c r="HZ5" s="295"/>
      <c r="IA5" s="295"/>
      <c r="IB5" s="295"/>
      <c r="IC5" s="295"/>
      <c r="ID5" s="295"/>
      <c r="IE5" s="295"/>
      <c r="IF5" s="295"/>
      <c r="IG5" s="295"/>
      <c r="IH5" s="295"/>
      <c r="II5" s="295"/>
      <c r="IJ5" s="295"/>
      <c r="IK5" s="295"/>
      <c r="IL5" s="295"/>
      <c r="IM5" s="295"/>
      <c r="IN5" s="295"/>
      <c r="IO5" s="295"/>
      <c r="IP5" s="295"/>
      <c r="IQ5" s="295"/>
      <c r="IR5" s="295"/>
      <c r="IS5" s="295"/>
      <c r="IT5" s="295"/>
      <c r="IU5" s="295"/>
      <c r="IV5" s="295"/>
      <c r="IW5" s="295"/>
      <c r="IX5" s="295"/>
      <c r="IY5" s="295"/>
      <c r="IZ5" s="295"/>
      <c r="JA5" s="295"/>
      <c r="JB5" s="295"/>
      <c r="JC5" s="295"/>
      <c r="JD5" s="295"/>
      <c r="JE5" s="295"/>
      <c r="JF5" s="295"/>
      <c r="JG5" s="295"/>
      <c r="JH5" s="295"/>
      <c r="JI5" s="295"/>
      <c r="JJ5" s="295"/>
      <c r="JK5" s="295"/>
      <c r="JL5" s="295"/>
      <c r="JM5" s="295"/>
      <c r="JN5" s="295"/>
      <c r="JO5" s="295"/>
      <c r="JP5" s="295"/>
      <c r="JQ5" s="295"/>
      <c r="JR5" s="295"/>
      <c r="JS5" s="295"/>
      <c r="JT5" s="295"/>
      <c r="JU5" s="295"/>
      <c r="JV5" s="295"/>
      <c r="JW5" s="295"/>
      <c r="JX5" s="295"/>
      <c r="JY5" s="295"/>
      <c r="JZ5" s="295"/>
      <c r="KA5" s="295"/>
      <c r="KB5" s="295"/>
      <c r="KC5" s="295"/>
      <c r="KD5" s="295"/>
      <c r="KE5" s="295"/>
      <c r="KF5" s="295"/>
      <c r="KG5" s="295"/>
      <c r="KH5" s="295"/>
      <c r="KI5" s="295"/>
      <c r="KJ5" s="295"/>
      <c r="KK5" s="295"/>
      <c r="KL5" s="295"/>
      <c r="KM5" s="295"/>
      <c r="KN5" s="295"/>
      <c r="KO5" s="295"/>
      <c r="KP5" s="295"/>
      <c r="KQ5" s="295"/>
      <c r="KR5" s="295"/>
      <c r="KS5" s="295"/>
      <c r="KT5" s="295"/>
      <c r="KU5" s="295"/>
      <c r="KV5" s="295"/>
      <c r="KW5" s="295"/>
      <c r="KX5" s="295"/>
      <c r="KY5" s="295"/>
      <c r="KZ5" s="295"/>
      <c r="LA5" s="295"/>
      <c r="LB5" s="295"/>
      <c r="LC5" s="295"/>
      <c r="LD5" s="295"/>
      <c r="LE5" s="295"/>
      <c r="LF5" s="295"/>
      <c r="LG5" s="295"/>
      <c r="LH5" s="295"/>
      <c r="LI5" s="295"/>
      <c r="LJ5" s="295"/>
      <c r="LK5" s="295"/>
      <c r="LL5" s="295"/>
      <c r="LM5" s="295"/>
      <c r="LN5" s="295"/>
      <c r="LO5" s="295"/>
      <c r="LP5" s="295"/>
      <c r="LQ5" s="295"/>
      <c r="LR5" s="295"/>
      <c r="LS5" s="295"/>
      <c r="LT5" s="295"/>
      <c r="LU5" s="295"/>
      <c r="LV5" s="295"/>
      <c r="LW5" s="295"/>
      <c r="LX5" s="295"/>
      <c r="LY5" s="295"/>
      <c r="LZ5" s="295"/>
      <c r="MA5" s="295"/>
      <c r="MB5" s="295"/>
      <c r="MC5" s="295"/>
      <c r="MD5" s="295"/>
      <c r="ME5" s="295"/>
      <c r="MF5" s="295"/>
      <c r="MG5" s="295"/>
      <c r="MH5" s="295"/>
      <c r="MI5" s="295"/>
      <c r="MJ5" s="295"/>
      <c r="MK5" s="295"/>
      <c r="ML5" s="295"/>
      <c r="MM5" s="295"/>
      <c r="MN5" s="295"/>
      <c r="MO5" s="295"/>
      <c r="MP5" s="295"/>
      <c r="MQ5" s="295"/>
      <c r="MR5" s="295"/>
      <c r="MS5" s="295"/>
      <c r="MT5" s="295"/>
      <c r="MU5" s="295"/>
      <c r="MV5" s="295"/>
      <c r="MW5" s="295"/>
      <c r="MX5" s="295"/>
      <c r="MY5" s="295"/>
      <c r="MZ5" s="295"/>
      <c r="NA5" s="295"/>
      <c r="NB5" s="295"/>
      <c r="NC5" s="295"/>
      <c r="ND5" s="295"/>
      <c r="NE5" s="295"/>
      <c r="NF5" s="295"/>
      <c r="NG5" s="295"/>
      <c r="NH5" s="295"/>
      <c r="NI5" s="295"/>
      <c r="NJ5" s="295"/>
      <c r="NK5" s="295"/>
      <c r="NL5" s="295"/>
      <c r="NM5" s="295"/>
      <c r="NN5" s="295"/>
      <c r="NO5" s="295"/>
      <c r="NP5" s="295"/>
      <c r="NQ5" s="295"/>
      <c r="NR5" s="295"/>
      <c r="NS5" s="295"/>
      <c r="NT5" s="295"/>
      <c r="NU5" s="295"/>
      <c r="NV5" s="295"/>
      <c r="NW5" s="295"/>
      <c r="NX5" s="295"/>
      <c r="NY5" s="295"/>
      <c r="NZ5" s="295"/>
      <c r="OA5" s="295"/>
      <c r="OB5" s="295"/>
      <c r="OC5" s="295"/>
      <c r="OD5" s="295"/>
    </row>
    <row r="6" spans="1:394" s="70" customFormat="1" ht="8.5" customHeight="1">
      <c r="A6" s="198"/>
      <c r="B6" s="13"/>
      <c r="C6" s="13"/>
      <c r="D6" s="59" t="s">
        <v>241</v>
      </c>
      <c r="E6" s="295"/>
      <c r="F6" s="295"/>
      <c r="G6" s="59"/>
      <c r="H6" s="295"/>
      <c r="I6" s="295"/>
      <c r="J6" s="59" t="s">
        <v>241</v>
      </c>
      <c r="K6" s="295"/>
      <c r="L6" s="295"/>
      <c r="M6" s="59" t="s">
        <v>207</v>
      </c>
      <c r="N6" s="295"/>
      <c r="O6" s="295"/>
      <c r="P6" s="59" t="s">
        <v>231</v>
      </c>
      <c r="Q6" s="295"/>
      <c r="R6" s="295"/>
      <c r="S6" s="59"/>
      <c r="T6" s="295"/>
      <c r="U6" s="295"/>
      <c r="V6" s="59"/>
      <c r="W6" s="295"/>
      <c r="X6" s="295"/>
      <c r="Y6" s="59"/>
      <c r="Z6" s="295"/>
      <c r="AA6" s="295"/>
      <c r="AB6" s="59" t="s">
        <v>241</v>
      </c>
      <c r="AC6" s="295"/>
      <c r="AD6" s="295"/>
      <c r="AE6" s="59"/>
      <c r="AF6" s="295"/>
      <c r="AG6" s="295"/>
      <c r="AH6" s="59"/>
      <c r="AI6" s="295"/>
      <c r="AJ6" s="295"/>
      <c r="AK6" s="59"/>
      <c r="AL6" s="295"/>
      <c r="AN6" s="59" t="s">
        <v>74</v>
      </c>
      <c r="AO6" s="295"/>
      <c r="AP6" s="13"/>
      <c r="AQ6" s="13"/>
      <c r="AR6" s="13"/>
      <c r="AS6" s="59"/>
      <c r="AT6" s="295"/>
      <c r="AU6" s="295"/>
      <c r="AV6" s="59" t="s">
        <v>305</v>
      </c>
      <c r="AW6" s="295"/>
      <c r="AX6" s="295"/>
      <c r="AY6" s="59"/>
      <c r="AZ6" s="295"/>
      <c r="BA6" s="295"/>
      <c r="BB6" s="59"/>
      <c r="BC6" s="295"/>
      <c r="BD6" s="295"/>
      <c r="BE6" s="59"/>
      <c r="BF6" s="295"/>
      <c r="BG6" s="295"/>
      <c r="BH6" s="59"/>
      <c r="BI6" s="295"/>
      <c r="BJ6" s="295"/>
      <c r="BK6" s="59" t="s">
        <v>321</v>
      </c>
      <c r="BL6" s="295"/>
      <c r="BM6" s="295"/>
      <c r="BN6" s="59" t="s">
        <v>321</v>
      </c>
      <c r="BO6" s="295"/>
      <c r="BP6" s="295"/>
      <c r="BQ6" s="59"/>
      <c r="BR6" s="295"/>
      <c r="BS6" s="295"/>
      <c r="BT6" s="59" t="s">
        <v>74</v>
      </c>
      <c r="BU6" s="295"/>
      <c r="BV6" s="295"/>
      <c r="BW6" s="59"/>
      <c r="BX6" s="295"/>
      <c r="BY6" s="295"/>
      <c r="BZ6" s="59"/>
      <c r="CB6" s="295"/>
      <c r="EG6" s="295"/>
      <c r="EH6" s="295"/>
      <c r="EI6" s="295"/>
      <c r="EJ6" s="295"/>
      <c r="EK6" s="295"/>
      <c r="EL6" s="295"/>
      <c r="EM6" s="295"/>
      <c r="EN6" s="295"/>
      <c r="EO6" s="295"/>
      <c r="EP6" s="295"/>
      <c r="EQ6" s="295"/>
      <c r="ER6" s="295"/>
      <c r="ES6" s="295"/>
      <c r="ET6" s="295"/>
      <c r="EU6" s="295"/>
      <c r="EV6" s="295"/>
      <c r="EW6" s="295"/>
      <c r="EX6" s="295"/>
      <c r="FA6" s="295"/>
      <c r="FB6" s="295"/>
      <c r="FC6" s="295"/>
      <c r="FD6" s="295"/>
      <c r="FE6" s="295"/>
      <c r="FF6" s="295"/>
      <c r="FG6" s="295"/>
      <c r="FH6" s="295"/>
      <c r="FI6" s="295"/>
      <c r="FJ6" s="295"/>
      <c r="FK6" s="295"/>
      <c r="FL6" s="295"/>
      <c r="FM6" s="295"/>
      <c r="FN6" s="295"/>
      <c r="FO6" s="295"/>
      <c r="FP6" s="295"/>
      <c r="FQ6" s="295"/>
      <c r="FR6" s="295"/>
      <c r="FS6" s="295"/>
      <c r="FT6" s="295"/>
      <c r="FU6" s="295"/>
      <c r="FV6" s="295"/>
      <c r="FW6" s="295"/>
      <c r="FX6" s="295"/>
      <c r="FY6" s="295"/>
      <c r="FZ6" s="295"/>
      <c r="GA6" s="295"/>
      <c r="GB6" s="295"/>
      <c r="GC6" s="295"/>
      <c r="GD6" s="295"/>
      <c r="GE6" s="295"/>
      <c r="GF6" s="295"/>
      <c r="GG6" s="295"/>
      <c r="GH6" s="295"/>
      <c r="GI6" s="295"/>
      <c r="GJ6" s="295"/>
      <c r="GK6" s="295"/>
      <c r="GL6" s="295"/>
      <c r="GM6" s="295"/>
      <c r="GN6" s="295"/>
      <c r="GO6" s="295"/>
      <c r="GP6" s="295"/>
      <c r="GQ6" s="295"/>
      <c r="GR6" s="295"/>
      <c r="GS6" s="295"/>
      <c r="GT6" s="295"/>
      <c r="GU6" s="295"/>
      <c r="GV6" s="295"/>
      <c r="GW6" s="295"/>
      <c r="GX6" s="295"/>
      <c r="GY6" s="295"/>
      <c r="GZ6" s="295"/>
      <c r="HA6" s="295"/>
      <c r="HB6" s="295"/>
      <c r="HC6" s="295"/>
      <c r="HD6" s="295"/>
      <c r="HE6" s="295"/>
      <c r="HF6" s="295"/>
      <c r="HG6" s="295"/>
      <c r="HH6" s="295"/>
      <c r="HI6" s="295"/>
      <c r="HJ6" s="295"/>
      <c r="HK6" s="295"/>
      <c r="HL6" s="295"/>
      <c r="HM6" s="295"/>
      <c r="HN6" s="295"/>
      <c r="HO6" s="295"/>
      <c r="HP6" s="295"/>
      <c r="HQ6" s="295"/>
      <c r="HR6" s="295"/>
      <c r="HS6" s="295"/>
      <c r="HT6" s="295"/>
      <c r="HU6" s="295"/>
      <c r="HV6" s="295"/>
      <c r="HW6" s="295"/>
      <c r="HX6" s="295"/>
      <c r="HY6" s="295"/>
      <c r="HZ6" s="295"/>
      <c r="IA6" s="295"/>
      <c r="IB6" s="295"/>
      <c r="IC6" s="295"/>
      <c r="ID6" s="295"/>
      <c r="IE6" s="295"/>
      <c r="IF6" s="295"/>
      <c r="IG6" s="295"/>
      <c r="IH6" s="295"/>
      <c r="II6" s="295"/>
      <c r="IJ6" s="295"/>
      <c r="IK6" s="295"/>
      <c r="IL6" s="295"/>
      <c r="IM6" s="295"/>
      <c r="IN6" s="295"/>
      <c r="IO6" s="295"/>
      <c r="IP6" s="295"/>
      <c r="IQ6" s="295"/>
      <c r="IR6" s="295"/>
      <c r="IS6" s="295"/>
      <c r="IT6" s="295"/>
      <c r="IU6" s="295"/>
      <c r="IV6" s="295"/>
      <c r="IW6" s="295"/>
      <c r="IX6" s="295"/>
      <c r="IY6" s="295"/>
      <c r="IZ6" s="295"/>
      <c r="JA6" s="295"/>
      <c r="JB6" s="295"/>
      <c r="JC6" s="295"/>
      <c r="JD6" s="295"/>
      <c r="JE6" s="295"/>
      <c r="JF6" s="295"/>
      <c r="JG6" s="295"/>
      <c r="JH6" s="295"/>
      <c r="JI6" s="295"/>
      <c r="JJ6" s="295"/>
      <c r="JK6" s="295"/>
      <c r="JL6" s="295"/>
      <c r="JM6" s="295"/>
      <c r="JN6" s="295"/>
      <c r="JO6" s="295"/>
      <c r="JP6" s="295"/>
      <c r="JQ6" s="295"/>
      <c r="JR6" s="295"/>
      <c r="JS6" s="295"/>
      <c r="JT6" s="295"/>
      <c r="JU6" s="295"/>
      <c r="JV6" s="295"/>
      <c r="JW6" s="295"/>
      <c r="JX6" s="295"/>
      <c r="JY6" s="295"/>
      <c r="JZ6" s="295"/>
      <c r="KA6" s="295"/>
      <c r="KB6" s="295"/>
      <c r="KC6" s="295"/>
      <c r="KD6" s="295"/>
      <c r="KE6" s="295"/>
      <c r="KF6" s="295"/>
      <c r="KG6" s="295"/>
      <c r="KH6" s="295"/>
      <c r="KI6" s="295"/>
      <c r="KJ6" s="295"/>
      <c r="KK6" s="295"/>
      <c r="KL6" s="295"/>
      <c r="KM6" s="295"/>
      <c r="KN6" s="295"/>
      <c r="KO6" s="295"/>
      <c r="KP6" s="295"/>
      <c r="KQ6" s="295"/>
      <c r="KR6" s="295"/>
      <c r="KS6" s="295"/>
      <c r="KT6" s="295"/>
      <c r="KU6" s="295"/>
      <c r="KV6" s="295"/>
      <c r="KW6" s="295"/>
      <c r="KX6" s="295"/>
      <c r="KY6" s="295"/>
      <c r="KZ6" s="295"/>
      <c r="LA6" s="295"/>
      <c r="LB6" s="295"/>
      <c r="LC6" s="295"/>
      <c r="LD6" s="295"/>
      <c r="LE6" s="295"/>
      <c r="LF6" s="295"/>
      <c r="LG6" s="295"/>
      <c r="LH6" s="295"/>
      <c r="LI6" s="295"/>
      <c r="LJ6" s="295"/>
      <c r="LK6" s="295"/>
      <c r="LL6" s="295"/>
      <c r="LM6" s="295"/>
      <c r="LN6" s="295"/>
      <c r="LO6" s="295"/>
      <c r="LP6" s="295"/>
      <c r="LQ6" s="295"/>
      <c r="LR6" s="295"/>
      <c r="LS6" s="295"/>
      <c r="LT6" s="295"/>
      <c r="LU6" s="295"/>
      <c r="LV6" s="295"/>
      <c r="LW6" s="295"/>
      <c r="LX6" s="295"/>
      <c r="LY6" s="295"/>
      <c r="LZ6" s="295"/>
      <c r="MA6" s="295"/>
      <c r="MB6" s="295"/>
      <c r="MC6" s="295"/>
      <c r="MD6" s="295"/>
      <c r="ME6" s="295"/>
      <c r="MF6" s="295"/>
      <c r="MG6" s="295"/>
      <c r="MH6" s="295"/>
      <c r="MI6" s="295"/>
      <c r="MJ6" s="295"/>
      <c r="MK6" s="295"/>
      <c r="ML6" s="295"/>
      <c r="MM6" s="295"/>
      <c r="MN6" s="295"/>
      <c r="MO6" s="295"/>
      <c r="MP6" s="295"/>
      <c r="MQ6" s="295"/>
      <c r="MR6" s="295"/>
      <c r="MS6" s="295"/>
      <c r="MT6" s="295"/>
      <c r="MU6" s="295"/>
      <c r="MV6" s="295"/>
      <c r="MW6" s="295"/>
      <c r="MX6" s="295"/>
      <c r="MY6" s="295"/>
      <c r="MZ6" s="295"/>
      <c r="NA6" s="295"/>
      <c r="NB6" s="295"/>
      <c r="NC6" s="295"/>
      <c r="ND6" s="295"/>
      <c r="NE6" s="295"/>
      <c r="NF6" s="295"/>
      <c r="NG6" s="295"/>
      <c r="NH6" s="295"/>
      <c r="NI6" s="295"/>
      <c r="NJ6" s="295"/>
      <c r="NK6" s="295"/>
      <c r="NL6" s="295"/>
      <c r="NM6" s="295"/>
      <c r="NN6" s="295"/>
      <c r="NO6" s="295"/>
      <c r="NP6" s="295"/>
      <c r="NQ6" s="295"/>
      <c r="NR6" s="295"/>
      <c r="NS6" s="295"/>
      <c r="NT6" s="295"/>
      <c r="NU6" s="295"/>
      <c r="NV6" s="295"/>
      <c r="NW6" s="295"/>
      <c r="NX6" s="295"/>
      <c r="NY6" s="295"/>
      <c r="NZ6" s="295"/>
      <c r="OA6" s="295"/>
      <c r="OB6" s="295"/>
      <c r="OC6" s="295"/>
      <c r="OD6" s="295"/>
    </row>
    <row r="7" spans="1:394" s="344" customFormat="1" ht="10">
      <c r="A7" s="199"/>
      <c r="B7" s="343"/>
      <c r="C7" s="343"/>
      <c r="D7" s="381" t="s">
        <v>254</v>
      </c>
      <c r="E7" s="339"/>
      <c r="G7" s="381" t="s">
        <v>255</v>
      </c>
      <c r="H7" s="339"/>
      <c r="J7" s="381" t="s">
        <v>257</v>
      </c>
      <c r="K7" s="339"/>
      <c r="M7" s="381" t="s">
        <v>258</v>
      </c>
      <c r="N7" s="339"/>
      <c r="P7" s="381" t="s">
        <v>260</v>
      </c>
      <c r="Q7" s="339"/>
      <c r="S7" s="381" t="s">
        <v>265</v>
      </c>
      <c r="T7" s="339"/>
      <c r="V7" s="381" t="s">
        <v>267</v>
      </c>
      <c r="W7" s="339"/>
      <c r="Y7" s="381" t="s">
        <v>271</v>
      </c>
      <c r="Z7" s="339"/>
      <c r="AB7" s="381" t="s">
        <v>274</v>
      </c>
      <c r="AC7" s="339"/>
      <c r="AE7" s="381" t="s">
        <v>277</v>
      </c>
      <c r="AF7" s="339"/>
      <c r="AH7" s="381" t="s">
        <v>281</v>
      </c>
      <c r="AI7" s="339"/>
      <c r="AK7" s="381" t="s">
        <v>293</v>
      </c>
      <c r="AL7" s="339"/>
      <c r="AN7" s="381" t="s">
        <v>297</v>
      </c>
      <c r="AO7" s="339"/>
      <c r="AP7" s="343"/>
      <c r="AQ7" s="345"/>
      <c r="AR7" s="345"/>
      <c r="AS7" s="381" t="s">
        <v>300</v>
      </c>
      <c r="AT7" s="339"/>
      <c r="AU7" s="339"/>
      <c r="AV7" s="381" t="s">
        <v>304</v>
      </c>
      <c r="AW7" s="339"/>
      <c r="AX7" s="339"/>
      <c r="AY7" s="381" t="s">
        <v>309</v>
      </c>
      <c r="AZ7" s="339"/>
      <c r="BA7" s="339"/>
      <c r="BB7" s="381" t="s">
        <v>312</v>
      </c>
      <c r="BC7" s="339"/>
      <c r="BD7" s="339"/>
      <c r="BE7" s="381" t="s">
        <v>315</v>
      </c>
      <c r="BF7" s="339"/>
      <c r="BG7" s="339"/>
      <c r="BH7" s="381" t="s">
        <v>317</v>
      </c>
      <c r="BI7" s="339"/>
      <c r="BJ7" s="339"/>
      <c r="BK7" s="381" t="s">
        <v>320</v>
      </c>
      <c r="BL7" s="339"/>
      <c r="BM7" s="339"/>
      <c r="BN7" s="381" t="s">
        <v>324</v>
      </c>
      <c r="BO7" s="339"/>
      <c r="BP7" s="339"/>
      <c r="BQ7" s="381" t="s">
        <v>330</v>
      </c>
      <c r="BR7" s="339"/>
      <c r="BS7" s="339"/>
      <c r="BT7" s="381" t="s">
        <v>333</v>
      </c>
      <c r="BU7" s="339"/>
      <c r="BV7" s="339"/>
      <c r="BW7" s="381" t="s">
        <v>335</v>
      </c>
      <c r="BX7" s="339"/>
      <c r="BY7" s="339"/>
      <c r="BZ7" s="381" t="s">
        <v>337</v>
      </c>
      <c r="CA7" s="339"/>
      <c r="CB7" s="339"/>
      <c r="CF7" s="346"/>
    </row>
    <row r="8" spans="1:394" s="342" customFormat="1" ht="10.5">
      <c r="A8" s="203" t="s">
        <v>1</v>
      </c>
      <c r="B8" s="100" t="s">
        <v>2</v>
      </c>
      <c r="C8" s="156"/>
      <c r="D8" s="379" t="s">
        <v>202</v>
      </c>
      <c r="E8" s="340" t="s">
        <v>203</v>
      </c>
      <c r="F8" s="341"/>
      <c r="G8" s="379" t="s">
        <v>202</v>
      </c>
      <c r="H8" s="340" t="s">
        <v>203</v>
      </c>
      <c r="I8" s="341"/>
      <c r="J8" s="379" t="s">
        <v>202</v>
      </c>
      <c r="K8" s="340" t="s">
        <v>203</v>
      </c>
      <c r="L8" s="341"/>
      <c r="M8" s="379" t="s">
        <v>202</v>
      </c>
      <c r="N8" s="340" t="s">
        <v>203</v>
      </c>
      <c r="O8" s="341"/>
      <c r="P8" s="379" t="s">
        <v>202</v>
      </c>
      <c r="Q8" s="340" t="s">
        <v>203</v>
      </c>
      <c r="R8" s="341"/>
      <c r="S8" s="379" t="s">
        <v>202</v>
      </c>
      <c r="T8" s="340" t="s">
        <v>203</v>
      </c>
      <c r="U8" s="341"/>
      <c r="V8" s="379" t="s">
        <v>202</v>
      </c>
      <c r="W8" s="340" t="s">
        <v>203</v>
      </c>
      <c r="X8" s="341"/>
      <c r="Y8" s="379" t="s">
        <v>202</v>
      </c>
      <c r="Z8" s="340" t="s">
        <v>203</v>
      </c>
      <c r="AA8" s="341"/>
      <c r="AB8" s="379" t="s">
        <v>202</v>
      </c>
      <c r="AC8" s="340" t="s">
        <v>203</v>
      </c>
      <c r="AD8" s="341"/>
      <c r="AE8" s="379" t="s">
        <v>202</v>
      </c>
      <c r="AF8" s="340" t="s">
        <v>203</v>
      </c>
      <c r="AG8" s="341"/>
      <c r="AH8" s="379" t="s">
        <v>202</v>
      </c>
      <c r="AI8" s="340" t="s">
        <v>203</v>
      </c>
      <c r="AJ8" s="341"/>
      <c r="AK8" s="379" t="s">
        <v>202</v>
      </c>
      <c r="AL8" s="340" t="s">
        <v>203</v>
      </c>
      <c r="AM8" s="341"/>
      <c r="AN8" s="379" t="s">
        <v>202</v>
      </c>
      <c r="AO8" s="340" t="s">
        <v>203</v>
      </c>
      <c r="AP8" s="118" t="s">
        <v>3</v>
      </c>
      <c r="AQ8" s="157" t="s">
        <v>2</v>
      </c>
      <c r="AR8" s="156"/>
      <c r="AS8" s="379" t="s">
        <v>202</v>
      </c>
      <c r="AT8" s="340" t="s">
        <v>203</v>
      </c>
      <c r="AU8" s="361"/>
      <c r="AV8" s="379" t="s">
        <v>202</v>
      </c>
      <c r="AW8" s="340" t="s">
        <v>203</v>
      </c>
      <c r="AX8" s="361"/>
      <c r="AY8" s="379" t="s">
        <v>202</v>
      </c>
      <c r="AZ8" s="340" t="s">
        <v>203</v>
      </c>
      <c r="BA8" s="361"/>
      <c r="BB8" s="379" t="s">
        <v>202</v>
      </c>
      <c r="BC8" s="340" t="s">
        <v>203</v>
      </c>
      <c r="BD8" s="361"/>
      <c r="BE8" s="379" t="s">
        <v>202</v>
      </c>
      <c r="BF8" s="340" t="s">
        <v>203</v>
      </c>
      <c r="BG8" s="361"/>
      <c r="BH8" s="379" t="s">
        <v>202</v>
      </c>
      <c r="BI8" s="340" t="s">
        <v>203</v>
      </c>
      <c r="BJ8" s="361"/>
      <c r="BK8" s="379" t="s">
        <v>202</v>
      </c>
      <c r="BL8" s="340" t="s">
        <v>203</v>
      </c>
      <c r="BM8" s="361"/>
      <c r="BN8" s="379" t="s">
        <v>202</v>
      </c>
      <c r="BO8" s="340" t="s">
        <v>203</v>
      </c>
      <c r="BP8" s="361"/>
      <c r="BQ8" s="379" t="s">
        <v>202</v>
      </c>
      <c r="BR8" s="340" t="s">
        <v>203</v>
      </c>
      <c r="BS8" s="361"/>
      <c r="BT8" s="379" t="s">
        <v>202</v>
      </c>
      <c r="BU8" s="340" t="s">
        <v>203</v>
      </c>
      <c r="BV8" s="361"/>
      <c r="BW8" s="379" t="s">
        <v>202</v>
      </c>
      <c r="BX8" s="340" t="s">
        <v>203</v>
      </c>
      <c r="BY8" s="361"/>
      <c r="BZ8" s="379" t="s">
        <v>202</v>
      </c>
      <c r="CA8" s="340" t="s">
        <v>203</v>
      </c>
      <c r="CB8" s="361"/>
    </row>
    <row r="9" spans="1:394" s="17" customFormat="1" ht="12" hidden="1" customHeight="1">
      <c r="A9" s="287"/>
      <c r="B9" s="102"/>
      <c r="C9" s="47"/>
      <c r="D9" s="354"/>
      <c r="E9" s="354"/>
      <c r="F9" s="14"/>
      <c r="G9" s="354"/>
      <c r="H9" s="354"/>
      <c r="I9" s="14"/>
      <c r="J9" s="354"/>
      <c r="K9" s="354"/>
      <c r="L9" s="14"/>
      <c r="M9" s="354"/>
      <c r="N9" s="354"/>
      <c r="O9" s="14"/>
      <c r="P9" s="354"/>
      <c r="Q9" s="354"/>
      <c r="R9" s="14"/>
      <c r="S9" s="354"/>
      <c r="T9" s="354"/>
      <c r="U9" s="14"/>
      <c r="V9" s="354"/>
      <c r="W9" s="354"/>
      <c r="X9" s="14"/>
      <c r="Y9" s="354"/>
      <c r="Z9" s="354"/>
      <c r="AA9" s="14"/>
      <c r="AB9" s="354"/>
      <c r="AC9" s="354"/>
      <c r="AD9" s="14"/>
      <c r="AE9" s="354"/>
      <c r="AF9" s="354"/>
      <c r="AG9" s="14"/>
      <c r="AH9" s="354"/>
      <c r="AI9" s="354"/>
      <c r="AJ9" s="14"/>
      <c r="AK9" s="354"/>
      <c r="AL9" s="354"/>
      <c r="AM9" s="14"/>
      <c r="AN9" s="354"/>
      <c r="AO9" s="354"/>
      <c r="AP9" s="172"/>
      <c r="AQ9" s="102"/>
      <c r="AR9" s="47"/>
      <c r="AS9" s="354"/>
      <c r="AT9" s="354"/>
      <c r="AU9" s="291"/>
      <c r="AV9" s="354"/>
      <c r="AW9" s="354"/>
      <c r="AX9" s="291"/>
      <c r="AY9" s="354"/>
      <c r="AZ9" s="354"/>
      <c r="BA9" s="291"/>
      <c r="BB9" s="354"/>
      <c r="BC9" s="354"/>
      <c r="BD9" s="291"/>
      <c r="BE9" s="354"/>
      <c r="BF9" s="354"/>
      <c r="BG9" s="291"/>
      <c r="BH9" s="354"/>
      <c r="BI9" s="354"/>
      <c r="BJ9" s="291"/>
      <c r="BK9" s="354"/>
      <c r="BL9" s="354"/>
      <c r="BM9" s="291"/>
      <c r="BN9" s="354"/>
      <c r="BO9" s="354"/>
      <c r="BP9" s="291"/>
      <c r="BQ9" s="354"/>
      <c r="BR9" s="354"/>
      <c r="BS9" s="291"/>
      <c r="BT9" s="354"/>
      <c r="BU9" s="354"/>
      <c r="BV9" s="291"/>
      <c r="BW9" s="354"/>
      <c r="BX9" s="354"/>
      <c r="BY9" s="291"/>
      <c r="BZ9" s="354"/>
      <c r="CA9" s="354"/>
      <c r="CB9" s="291"/>
      <c r="CC9" s="291"/>
      <c r="EG9" s="291"/>
      <c r="EH9" s="291"/>
      <c r="EI9" s="291"/>
      <c r="EJ9" s="291"/>
      <c r="EK9" s="291"/>
      <c r="EL9" s="291"/>
      <c r="EM9" s="291"/>
      <c r="EN9" s="291"/>
      <c r="EO9" s="291"/>
      <c r="EP9" s="291"/>
      <c r="EQ9" s="291"/>
      <c r="ER9" s="291"/>
      <c r="ES9" s="291"/>
      <c r="ET9" s="291"/>
      <c r="EU9" s="291"/>
      <c r="EV9" s="291"/>
      <c r="EW9" s="291"/>
      <c r="EX9" s="291"/>
      <c r="FA9" s="291"/>
      <c r="FB9" s="291"/>
      <c r="FC9" s="291"/>
      <c r="FD9" s="291"/>
      <c r="FE9" s="291"/>
      <c r="FF9" s="291"/>
      <c r="FG9" s="291"/>
      <c r="FH9" s="291"/>
      <c r="FI9" s="291"/>
      <c r="FJ9" s="291"/>
      <c r="FK9" s="291"/>
      <c r="FL9" s="291"/>
      <c r="FM9" s="291"/>
      <c r="FN9" s="291"/>
      <c r="FO9" s="291"/>
      <c r="FP9" s="291"/>
      <c r="FQ9" s="291"/>
      <c r="FR9" s="291"/>
      <c r="FS9" s="291"/>
      <c r="FT9" s="291"/>
      <c r="FU9" s="291"/>
      <c r="FV9" s="291"/>
      <c r="FW9" s="291"/>
      <c r="FX9" s="291"/>
      <c r="FY9" s="291"/>
      <c r="FZ9" s="291"/>
      <c r="GA9" s="291"/>
      <c r="GB9" s="291"/>
      <c r="GC9" s="291"/>
      <c r="GD9" s="291"/>
      <c r="GE9" s="291"/>
      <c r="GF9" s="291"/>
      <c r="GG9" s="291"/>
      <c r="GH9" s="291"/>
      <c r="GI9" s="291"/>
      <c r="GJ9" s="291"/>
      <c r="GK9" s="291"/>
      <c r="GL9" s="291"/>
      <c r="GM9" s="291"/>
      <c r="GN9" s="291"/>
      <c r="GO9" s="291"/>
      <c r="GP9" s="291"/>
      <c r="GQ9" s="291"/>
      <c r="GR9" s="291"/>
      <c r="GS9" s="291"/>
      <c r="GT9" s="291"/>
      <c r="GU9" s="291"/>
      <c r="GV9" s="291"/>
      <c r="GW9" s="291"/>
      <c r="GX9" s="291"/>
      <c r="GY9" s="291"/>
      <c r="GZ9" s="291"/>
      <c r="HA9" s="291"/>
      <c r="HB9" s="291"/>
      <c r="HC9" s="291"/>
      <c r="HD9" s="291"/>
      <c r="HE9" s="291"/>
      <c r="HF9" s="291"/>
      <c r="HG9" s="291"/>
      <c r="HH9" s="291"/>
      <c r="HI9" s="291"/>
      <c r="HJ9" s="291"/>
      <c r="HK9" s="291"/>
      <c r="HL9" s="291"/>
      <c r="HM9" s="291"/>
      <c r="HN9" s="291"/>
      <c r="HO9" s="291"/>
      <c r="HP9" s="291"/>
      <c r="HQ9" s="291"/>
      <c r="HR9" s="291"/>
      <c r="HS9" s="291"/>
      <c r="HT9" s="291"/>
      <c r="HU9" s="291"/>
      <c r="HV9" s="291"/>
      <c r="HW9" s="291"/>
      <c r="HX9" s="291"/>
      <c r="HY9" s="291"/>
      <c r="HZ9" s="291"/>
      <c r="IA9" s="291"/>
      <c r="IB9" s="291"/>
      <c r="IC9" s="291"/>
      <c r="ID9" s="291"/>
      <c r="IE9" s="291"/>
      <c r="IF9" s="291"/>
      <c r="IG9" s="291"/>
      <c r="IH9" s="291"/>
      <c r="II9" s="291"/>
      <c r="IJ9" s="291"/>
      <c r="IK9" s="291"/>
      <c r="IL9" s="291"/>
      <c r="IM9" s="291"/>
      <c r="IN9" s="291"/>
      <c r="IO9" s="291"/>
      <c r="IP9" s="291"/>
      <c r="IQ9" s="291"/>
      <c r="IR9" s="291"/>
      <c r="IS9" s="291"/>
      <c r="IT9" s="291"/>
      <c r="IU9" s="291"/>
      <c r="IV9" s="291"/>
      <c r="IW9" s="291"/>
      <c r="IX9" s="291"/>
      <c r="IY9" s="291"/>
      <c r="IZ9" s="291"/>
      <c r="JA9" s="291"/>
      <c r="JB9" s="291"/>
      <c r="JC9" s="291"/>
      <c r="JD9" s="291"/>
      <c r="JE9" s="291"/>
      <c r="JF9" s="291"/>
      <c r="JG9" s="291"/>
      <c r="JH9" s="291"/>
      <c r="JI9" s="291"/>
      <c r="JJ9" s="291"/>
      <c r="JK9" s="291"/>
      <c r="JL9" s="291"/>
      <c r="JM9" s="291"/>
      <c r="JN9" s="291"/>
      <c r="JO9" s="291"/>
      <c r="JP9" s="291"/>
      <c r="JQ9" s="291"/>
      <c r="JR9" s="291"/>
      <c r="JS9" s="291"/>
      <c r="JT9" s="291"/>
      <c r="JU9" s="291"/>
      <c r="JV9" s="291"/>
      <c r="JW9" s="291"/>
      <c r="JX9" s="291"/>
      <c r="JY9" s="291"/>
      <c r="JZ9" s="291"/>
      <c r="KA9" s="291"/>
      <c r="KB9" s="291"/>
      <c r="KC9" s="291"/>
      <c r="KD9" s="291"/>
      <c r="KE9" s="291"/>
      <c r="KF9" s="291"/>
      <c r="KG9" s="291"/>
      <c r="KH9" s="291"/>
      <c r="KI9" s="291"/>
      <c r="KJ9" s="291"/>
      <c r="KK9" s="291"/>
      <c r="KL9" s="291"/>
      <c r="KM9" s="291"/>
      <c r="KN9" s="291"/>
      <c r="KO9" s="291"/>
      <c r="KP9" s="291"/>
      <c r="KQ9" s="291"/>
      <c r="KR9" s="291"/>
      <c r="KS9" s="291"/>
      <c r="KT9" s="291"/>
      <c r="KU9" s="291"/>
      <c r="KV9" s="291"/>
      <c r="KW9" s="291"/>
      <c r="KX9" s="291"/>
      <c r="KY9" s="291"/>
      <c r="KZ9" s="291"/>
      <c r="LA9" s="291"/>
      <c r="LB9" s="291"/>
      <c r="LC9" s="291"/>
      <c r="LD9" s="291"/>
      <c r="LE9" s="291"/>
      <c r="LF9" s="291"/>
      <c r="LG9" s="291"/>
      <c r="LH9" s="291"/>
      <c r="LI9" s="291"/>
      <c r="LJ9" s="291"/>
      <c r="LK9" s="291"/>
      <c r="LL9" s="291"/>
      <c r="LM9" s="291"/>
      <c r="LN9" s="291"/>
      <c r="LO9" s="291"/>
      <c r="LP9" s="291"/>
      <c r="LQ9" s="291"/>
      <c r="LR9" s="291"/>
      <c r="LS9" s="291"/>
      <c r="LT9" s="291"/>
      <c r="LU9" s="291"/>
      <c r="LV9" s="291"/>
      <c r="LW9" s="291"/>
      <c r="LX9" s="291"/>
      <c r="LY9" s="291"/>
      <c r="LZ9" s="291"/>
      <c r="MA9" s="291"/>
      <c r="MB9" s="291"/>
      <c r="MC9" s="291"/>
      <c r="MD9" s="291"/>
      <c r="ME9" s="291"/>
      <c r="MF9" s="291"/>
      <c r="MG9" s="291"/>
      <c r="MH9" s="291"/>
      <c r="MI9" s="291"/>
      <c r="MJ9" s="291"/>
      <c r="MK9" s="291"/>
      <c r="ML9" s="291"/>
      <c r="MM9" s="291"/>
      <c r="MN9" s="291"/>
      <c r="MO9" s="291"/>
      <c r="MP9" s="291"/>
      <c r="MQ9" s="291"/>
      <c r="MR9" s="291"/>
      <c r="MS9" s="291"/>
      <c r="MT9" s="291"/>
      <c r="MU9" s="291"/>
      <c r="MV9" s="291"/>
      <c r="MW9" s="291"/>
      <c r="MX9" s="291"/>
      <c r="MY9" s="291"/>
      <c r="MZ9" s="291"/>
      <c r="NA9" s="291"/>
      <c r="NB9" s="291"/>
      <c r="NC9" s="291"/>
      <c r="ND9" s="291"/>
      <c r="NE9" s="291"/>
      <c r="NF9" s="291"/>
      <c r="NG9" s="291"/>
      <c r="NH9" s="291"/>
      <c r="NI9" s="291"/>
      <c r="NJ9" s="291"/>
      <c r="NK9" s="291"/>
      <c r="NL9" s="291"/>
      <c r="NM9" s="291"/>
      <c r="NN9" s="291"/>
      <c r="NO9" s="291"/>
      <c r="NP9" s="291"/>
      <c r="NQ9" s="291"/>
      <c r="NR9" s="291"/>
      <c r="NS9" s="291"/>
      <c r="NT9" s="291"/>
      <c r="NU9" s="291"/>
      <c r="NV9" s="291"/>
      <c r="NW9" s="291"/>
      <c r="NX9" s="291"/>
      <c r="NY9" s="291"/>
      <c r="NZ9" s="291"/>
      <c r="OA9" s="291"/>
      <c r="OB9" s="291"/>
      <c r="OC9" s="291"/>
      <c r="OD9" s="291"/>
    </row>
    <row r="10" spans="1:394" s="17" customFormat="1" ht="12" hidden="1" customHeight="1">
      <c r="A10" s="91"/>
      <c r="B10" s="103"/>
      <c r="C10" s="51"/>
      <c r="D10" s="354"/>
      <c r="E10" s="355"/>
      <c r="F10" s="14"/>
      <c r="G10" s="354"/>
      <c r="H10" s="355"/>
      <c r="I10" s="14"/>
      <c r="J10" s="354"/>
      <c r="K10" s="355"/>
      <c r="L10" s="14"/>
      <c r="M10" s="354"/>
      <c r="N10" s="355"/>
      <c r="O10" s="14"/>
      <c r="P10" s="354"/>
      <c r="Q10" s="355"/>
      <c r="R10" s="14"/>
      <c r="S10" s="354"/>
      <c r="T10" s="355"/>
      <c r="U10" s="14"/>
      <c r="V10" s="354"/>
      <c r="W10" s="355"/>
      <c r="X10" s="14"/>
      <c r="Y10" s="354"/>
      <c r="Z10" s="354"/>
      <c r="AA10" s="14"/>
      <c r="AB10" s="354"/>
      <c r="AC10" s="355"/>
      <c r="AD10" s="14"/>
      <c r="AE10" s="354"/>
      <c r="AF10" s="354"/>
      <c r="AG10" s="14"/>
      <c r="AH10" s="354"/>
      <c r="AI10" s="355"/>
      <c r="AJ10" s="14"/>
      <c r="AK10" s="354"/>
      <c r="AL10" s="354"/>
      <c r="AM10" s="14"/>
      <c r="AN10" s="354"/>
      <c r="AO10" s="355"/>
      <c r="AP10" s="173"/>
      <c r="AQ10" s="101"/>
      <c r="AR10" s="375"/>
      <c r="AS10" s="354"/>
      <c r="AT10" s="355"/>
      <c r="AU10" s="291"/>
      <c r="AV10" s="354"/>
      <c r="AW10" s="355"/>
      <c r="AX10" s="291"/>
      <c r="AY10" s="354"/>
      <c r="AZ10" s="355"/>
      <c r="BA10" s="291"/>
      <c r="BB10" s="354"/>
      <c r="BC10" s="355"/>
      <c r="BD10" s="291"/>
      <c r="BE10" s="354"/>
      <c r="BF10" s="355"/>
      <c r="BG10" s="291"/>
      <c r="BH10" s="354"/>
      <c r="BI10" s="355"/>
      <c r="BJ10" s="291"/>
      <c r="BK10" s="354"/>
      <c r="BL10" s="355"/>
      <c r="BM10" s="291"/>
      <c r="BN10" s="354"/>
      <c r="BO10" s="355"/>
      <c r="BP10" s="291"/>
      <c r="BQ10" s="354"/>
      <c r="BR10" s="355"/>
      <c r="BS10" s="291"/>
      <c r="BT10" s="354"/>
      <c r="BU10" s="355"/>
      <c r="BV10" s="291"/>
      <c r="BW10" s="354"/>
      <c r="BX10" s="355"/>
      <c r="BY10" s="291"/>
      <c r="BZ10" s="354"/>
      <c r="CA10" s="355"/>
      <c r="CB10" s="291"/>
      <c r="CC10" s="291"/>
      <c r="EG10" s="291"/>
      <c r="EH10" s="291"/>
      <c r="EI10" s="291"/>
      <c r="EJ10" s="291"/>
      <c r="EK10" s="291"/>
      <c r="EL10" s="291"/>
      <c r="EM10" s="291"/>
      <c r="EN10" s="291"/>
      <c r="EO10" s="291"/>
      <c r="EP10" s="291"/>
      <c r="EQ10" s="291"/>
      <c r="ER10" s="291"/>
      <c r="ES10" s="291"/>
      <c r="ET10" s="291"/>
      <c r="EU10" s="291"/>
      <c r="EV10" s="291"/>
      <c r="EW10" s="291"/>
      <c r="EX10" s="291"/>
      <c r="FA10" s="291"/>
      <c r="FB10" s="291"/>
      <c r="FC10" s="291"/>
      <c r="FD10" s="291"/>
      <c r="FE10" s="291"/>
      <c r="FF10" s="291"/>
      <c r="FG10" s="291"/>
      <c r="FH10" s="291"/>
      <c r="FI10" s="291"/>
      <c r="FJ10" s="291"/>
      <c r="FK10" s="291"/>
      <c r="FL10" s="291"/>
      <c r="FM10" s="291"/>
      <c r="FN10" s="291"/>
      <c r="FO10" s="291"/>
      <c r="FP10" s="291"/>
      <c r="FQ10" s="291"/>
      <c r="FR10" s="291"/>
      <c r="FS10" s="291"/>
      <c r="FT10" s="291"/>
      <c r="FU10" s="291"/>
      <c r="FV10" s="291"/>
      <c r="FW10" s="291"/>
      <c r="FX10" s="291"/>
      <c r="FY10" s="291"/>
      <c r="FZ10" s="291"/>
      <c r="GA10" s="291"/>
      <c r="GB10" s="291"/>
      <c r="GC10" s="291"/>
      <c r="GD10" s="291"/>
      <c r="GE10" s="291"/>
      <c r="GF10" s="291"/>
      <c r="GG10" s="291"/>
      <c r="GH10" s="291"/>
      <c r="GI10" s="291"/>
      <c r="GJ10" s="291"/>
      <c r="GK10" s="291"/>
      <c r="GL10" s="291"/>
      <c r="GM10" s="291"/>
      <c r="GN10" s="291"/>
      <c r="GO10" s="291"/>
      <c r="GP10" s="291"/>
      <c r="GQ10" s="291"/>
      <c r="GR10" s="291"/>
      <c r="GS10" s="291"/>
      <c r="GT10" s="291"/>
      <c r="GU10" s="291"/>
      <c r="GV10" s="291"/>
      <c r="GW10" s="291"/>
      <c r="GX10" s="291"/>
      <c r="GY10" s="291"/>
      <c r="GZ10" s="291"/>
      <c r="HA10" s="291"/>
      <c r="HB10" s="291"/>
      <c r="HC10" s="291"/>
      <c r="HD10" s="291"/>
      <c r="HE10" s="291"/>
      <c r="HF10" s="291"/>
      <c r="HG10" s="291"/>
      <c r="HH10" s="291"/>
      <c r="HI10" s="291"/>
      <c r="HJ10" s="291"/>
      <c r="HK10" s="291"/>
      <c r="HL10" s="291"/>
      <c r="HM10" s="291"/>
      <c r="HN10" s="291"/>
      <c r="HO10" s="291"/>
      <c r="HP10" s="291"/>
      <c r="HQ10" s="291"/>
      <c r="HR10" s="291"/>
      <c r="HS10" s="291"/>
      <c r="HT10" s="291"/>
      <c r="HU10" s="291"/>
      <c r="HV10" s="291"/>
      <c r="HW10" s="291"/>
      <c r="HX10" s="291"/>
      <c r="HY10" s="291"/>
      <c r="HZ10" s="291"/>
      <c r="IA10" s="291"/>
      <c r="IB10" s="291"/>
      <c r="IC10" s="291"/>
      <c r="ID10" s="291"/>
      <c r="IE10" s="291"/>
      <c r="IF10" s="291"/>
      <c r="IG10" s="291"/>
      <c r="IH10" s="291"/>
      <c r="II10" s="291"/>
      <c r="IJ10" s="291"/>
      <c r="IK10" s="291"/>
      <c r="IL10" s="291"/>
      <c r="IM10" s="291"/>
      <c r="IN10" s="291"/>
      <c r="IO10" s="291"/>
      <c r="IP10" s="291"/>
      <c r="IQ10" s="291"/>
      <c r="IR10" s="291"/>
      <c r="IS10" s="291"/>
      <c r="IT10" s="291"/>
      <c r="IU10" s="291"/>
      <c r="IV10" s="291"/>
      <c r="IW10" s="291"/>
      <c r="IX10" s="291"/>
      <c r="IY10" s="291"/>
      <c r="IZ10" s="291"/>
      <c r="JA10" s="291"/>
      <c r="JB10" s="291"/>
      <c r="JC10" s="291"/>
      <c r="JD10" s="291"/>
      <c r="JE10" s="291"/>
      <c r="JF10" s="291"/>
      <c r="JG10" s="291"/>
      <c r="JH10" s="291"/>
      <c r="JI10" s="291"/>
      <c r="JJ10" s="291"/>
      <c r="JK10" s="291"/>
      <c r="JL10" s="291"/>
      <c r="JM10" s="291"/>
      <c r="JN10" s="291"/>
      <c r="JO10" s="291"/>
      <c r="JP10" s="291"/>
      <c r="JQ10" s="291"/>
      <c r="JR10" s="291"/>
      <c r="JS10" s="291"/>
      <c r="JT10" s="291"/>
      <c r="JU10" s="291"/>
      <c r="JV10" s="291"/>
      <c r="JW10" s="291"/>
      <c r="JX10" s="291"/>
      <c r="JY10" s="291"/>
      <c r="JZ10" s="291"/>
      <c r="KA10" s="291"/>
      <c r="KB10" s="291"/>
      <c r="KC10" s="291"/>
      <c r="KD10" s="291"/>
      <c r="KE10" s="291"/>
      <c r="KF10" s="291"/>
      <c r="KG10" s="291"/>
      <c r="KH10" s="291"/>
      <c r="KI10" s="291"/>
      <c r="KJ10" s="291"/>
      <c r="KK10" s="291"/>
      <c r="KL10" s="291"/>
      <c r="KM10" s="291"/>
      <c r="KN10" s="291"/>
      <c r="KO10" s="291"/>
      <c r="KP10" s="291"/>
      <c r="KQ10" s="291"/>
      <c r="KR10" s="291"/>
      <c r="KS10" s="291"/>
      <c r="KT10" s="291"/>
      <c r="KU10" s="291"/>
      <c r="KV10" s="291"/>
      <c r="KW10" s="291"/>
      <c r="KX10" s="291"/>
      <c r="KY10" s="291"/>
      <c r="KZ10" s="291"/>
      <c r="LA10" s="291"/>
      <c r="LB10" s="291"/>
      <c r="LC10" s="291"/>
      <c r="LD10" s="291"/>
      <c r="LE10" s="291"/>
      <c r="LF10" s="291"/>
      <c r="LG10" s="291"/>
      <c r="LH10" s="291"/>
      <c r="LI10" s="291"/>
      <c r="LJ10" s="291"/>
      <c r="LK10" s="291"/>
      <c r="LL10" s="291"/>
      <c r="LM10" s="291"/>
      <c r="LN10" s="291"/>
      <c r="LO10" s="291"/>
      <c r="LP10" s="291"/>
      <c r="LQ10" s="291"/>
      <c r="LR10" s="291"/>
      <c r="LS10" s="291"/>
      <c r="LT10" s="291"/>
      <c r="LU10" s="291"/>
      <c r="LV10" s="291"/>
      <c r="LW10" s="291"/>
      <c r="LX10" s="291"/>
      <c r="LY10" s="291"/>
      <c r="LZ10" s="291"/>
      <c r="MA10" s="291"/>
      <c r="MB10" s="291"/>
      <c r="MC10" s="291"/>
      <c r="MD10" s="291"/>
      <c r="ME10" s="291"/>
      <c r="MF10" s="291"/>
      <c r="MG10" s="291"/>
      <c r="MH10" s="291"/>
      <c r="MI10" s="291"/>
      <c r="MJ10" s="291"/>
      <c r="MK10" s="291"/>
      <c r="ML10" s="291"/>
      <c r="MM10" s="291"/>
      <c r="MN10" s="291"/>
      <c r="MO10" s="291"/>
      <c r="MP10" s="291"/>
      <c r="MQ10" s="291"/>
      <c r="MR10" s="291"/>
      <c r="MS10" s="291"/>
      <c r="MT10" s="291"/>
      <c r="MU10" s="291"/>
      <c r="MV10" s="291"/>
      <c r="MW10" s="291"/>
      <c r="MX10" s="291"/>
      <c r="MY10" s="291"/>
      <c r="MZ10" s="291"/>
      <c r="NA10" s="291"/>
      <c r="NB10" s="291"/>
      <c r="NC10" s="291"/>
      <c r="ND10" s="291"/>
      <c r="NE10" s="291"/>
      <c r="NF10" s="291"/>
      <c r="NG10" s="291"/>
      <c r="NH10" s="291"/>
      <c r="NI10" s="291"/>
      <c r="NJ10" s="291"/>
      <c r="NK10" s="291"/>
      <c r="NL10" s="291"/>
      <c r="NM10" s="291"/>
      <c r="NN10" s="291"/>
      <c r="NO10" s="291"/>
      <c r="NP10" s="291"/>
      <c r="NQ10" s="291"/>
      <c r="NR10" s="291"/>
      <c r="NS10" s="291"/>
      <c r="NT10" s="291"/>
      <c r="NU10" s="291"/>
      <c r="NV10" s="291"/>
      <c r="NW10" s="291"/>
      <c r="NX10" s="291"/>
      <c r="NY10" s="291"/>
      <c r="NZ10" s="291"/>
      <c r="OA10" s="291"/>
      <c r="OB10" s="291"/>
      <c r="OC10" s="291"/>
      <c r="OD10" s="291"/>
    </row>
    <row r="11" spans="1:394" s="17" customFormat="1" ht="12" customHeight="1" thickBot="1">
      <c r="A11" s="159" t="s">
        <v>77</v>
      </c>
      <c r="B11" s="204">
        <v>35</v>
      </c>
      <c r="C11" s="47"/>
      <c r="D11" s="289" t="s">
        <v>311</v>
      </c>
      <c r="E11" s="293"/>
      <c r="F11" s="293"/>
      <c r="G11" s="289">
        <v>44</v>
      </c>
      <c r="H11" s="293"/>
      <c r="I11" s="293"/>
      <c r="J11" s="289">
        <v>45</v>
      </c>
      <c r="K11" s="293"/>
      <c r="L11" s="293"/>
      <c r="M11" s="289">
        <v>45</v>
      </c>
      <c r="N11" s="293"/>
      <c r="O11" s="293"/>
      <c r="P11" s="293">
        <v>45</v>
      </c>
      <c r="Q11" s="293"/>
      <c r="R11" s="293"/>
      <c r="S11" s="293" t="s">
        <v>311</v>
      </c>
      <c r="T11" s="293"/>
      <c r="U11" s="293"/>
      <c r="V11" s="293">
        <v>44</v>
      </c>
      <c r="W11" s="293"/>
      <c r="X11" s="293"/>
      <c r="Y11" s="293">
        <v>45</v>
      </c>
      <c r="Z11" s="289"/>
      <c r="AA11" s="293"/>
      <c r="AB11" s="293">
        <v>45</v>
      </c>
      <c r="AC11" s="293"/>
      <c r="AD11" s="293"/>
      <c r="AE11" s="293" t="s">
        <v>311</v>
      </c>
      <c r="AF11" s="289"/>
      <c r="AG11" s="293"/>
      <c r="AH11" s="293">
        <v>45</v>
      </c>
      <c r="AI11" s="293"/>
      <c r="AJ11" s="293"/>
      <c r="AK11" s="293">
        <v>45</v>
      </c>
      <c r="AL11" s="289"/>
      <c r="AM11" s="293"/>
      <c r="AN11" s="293" t="s">
        <v>311</v>
      </c>
      <c r="AO11" s="293"/>
      <c r="AP11" s="172" t="str">
        <f t="shared" ref="AP11:AP16" si="0">A11</f>
        <v>Fiesta - Cuautitlan</v>
      </c>
      <c r="AQ11" s="205" t="s">
        <v>222</v>
      </c>
      <c r="AR11" s="376"/>
      <c r="AS11" s="293">
        <v>45</v>
      </c>
      <c r="AT11" s="293"/>
      <c r="AU11" s="291"/>
      <c r="AV11" s="293">
        <v>36</v>
      </c>
      <c r="AW11" s="293"/>
      <c r="AX11" s="291"/>
      <c r="AY11" s="293">
        <v>45</v>
      </c>
      <c r="AZ11" s="293"/>
      <c r="BA11" s="291"/>
      <c r="BB11" s="476">
        <v>45</v>
      </c>
      <c r="BC11" s="293"/>
      <c r="BD11" s="291"/>
      <c r="BE11" s="461">
        <v>45</v>
      </c>
      <c r="BF11" s="293"/>
      <c r="BG11" s="291"/>
      <c r="BH11" s="293">
        <v>45</v>
      </c>
      <c r="BI11" s="293"/>
      <c r="BJ11" s="291"/>
      <c r="BK11" s="293" t="s">
        <v>116</v>
      </c>
      <c r="BL11" s="293"/>
      <c r="BM11" s="291"/>
      <c r="BN11" s="293">
        <v>27</v>
      </c>
      <c r="BO11" s="293">
        <v>9</v>
      </c>
      <c r="BP11" s="291"/>
      <c r="BQ11" s="293">
        <v>45</v>
      </c>
      <c r="BR11" s="293"/>
      <c r="BS11" s="291"/>
      <c r="BT11" s="293">
        <v>45</v>
      </c>
      <c r="BU11" s="293">
        <v>9</v>
      </c>
      <c r="BV11" s="291"/>
      <c r="BW11" s="293">
        <v>45</v>
      </c>
      <c r="BX11" s="293"/>
      <c r="BY11" s="291"/>
      <c r="BZ11" s="293">
        <v>45</v>
      </c>
      <c r="CA11" s="293">
        <v>9</v>
      </c>
      <c r="CB11" s="291"/>
      <c r="CC11" s="291"/>
      <c r="EG11" s="291"/>
      <c r="EH11" s="291"/>
      <c r="EI11" s="291"/>
      <c r="EJ11" s="291"/>
      <c r="EK11" s="291"/>
      <c r="EL11" s="291"/>
      <c r="EM11" s="291"/>
      <c r="EN11" s="291"/>
      <c r="EO11" s="291"/>
      <c r="EP11" s="291"/>
      <c r="EQ11" s="291"/>
      <c r="ER11" s="291"/>
      <c r="ES11" s="291"/>
      <c r="ET11" s="291"/>
      <c r="EU11" s="291"/>
      <c r="EV11" s="291"/>
      <c r="EW11" s="291"/>
      <c r="EX11" s="291"/>
      <c r="FA11" s="291"/>
      <c r="FB11" s="291"/>
      <c r="FC11" s="291"/>
      <c r="FD11" s="291"/>
      <c r="FE11" s="291"/>
      <c r="FF11" s="291"/>
      <c r="FG11" s="291"/>
      <c r="FH11" s="291"/>
      <c r="FI11" s="291"/>
      <c r="FJ11" s="291"/>
      <c r="FK11" s="291"/>
      <c r="FL11" s="291"/>
      <c r="FM11" s="291"/>
      <c r="FN11" s="291"/>
      <c r="FO11" s="291"/>
      <c r="FP11" s="291"/>
      <c r="FQ11" s="291"/>
      <c r="FR11" s="291"/>
      <c r="FS11" s="291"/>
      <c r="FT11" s="291"/>
      <c r="FU11" s="291"/>
      <c r="FV11" s="291"/>
      <c r="FW11" s="291"/>
      <c r="FX11" s="291"/>
      <c r="FY11" s="291"/>
      <c r="FZ11" s="291"/>
      <c r="GA11" s="291"/>
      <c r="GB11" s="291"/>
      <c r="GC11" s="291"/>
      <c r="GD11" s="291"/>
      <c r="GE11" s="291"/>
      <c r="GF11" s="291"/>
      <c r="GG11" s="291"/>
      <c r="GH11" s="291"/>
      <c r="GI11" s="291"/>
      <c r="GJ11" s="291"/>
      <c r="GK11" s="291"/>
      <c r="GL11" s="291"/>
      <c r="GM11" s="291"/>
      <c r="GN11" s="291"/>
      <c r="GO11" s="291"/>
      <c r="GP11" s="291"/>
      <c r="GQ11" s="291"/>
      <c r="GR11" s="291"/>
      <c r="GS11" s="291"/>
      <c r="GT11" s="291"/>
      <c r="GU11" s="291"/>
      <c r="GV11" s="291"/>
      <c r="GW11" s="291"/>
      <c r="GX11" s="291"/>
      <c r="GY11" s="291"/>
      <c r="GZ11" s="291"/>
      <c r="HA11" s="291"/>
      <c r="HB11" s="291"/>
      <c r="HC11" s="291"/>
      <c r="HD11" s="291"/>
      <c r="HE11" s="291"/>
      <c r="HF11" s="291"/>
      <c r="HG11" s="291"/>
      <c r="HH11" s="291"/>
      <c r="HI11" s="291"/>
      <c r="HJ11" s="291"/>
      <c r="HK11" s="291"/>
      <c r="HL11" s="291"/>
      <c r="HM11" s="291"/>
      <c r="HN11" s="291"/>
      <c r="HO11" s="291"/>
      <c r="HP11" s="291"/>
      <c r="HQ11" s="291"/>
      <c r="HR11" s="291"/>
      <c r="HS11" s="291"/>
      <c r="HT11" s="291"/>
      <c r="HU11" s="291"/>
      <c r="HV11" s="291"/>
      <c r="HW11" s="291"/>
      <c r="HX11" s="291"/>
      <c r="HY11" s="291"/>
      <c r="HZ11" s="291"/>
      <c r="IA11" s="291"/>
      <c r="IB11" s="291"/>
      <c r="IC11" s="291"/>
      <c r="ID11" s="291"/>
      <c r="IE11" s="291"/>
      <c r="IF11" s="291"/>
      <c r="IG11" s="291"/>
      <c r="IH11" s="291"/>
      <c r="II11" s="291"/>
      <c r="IJ11" s="291"/>
      <c r="IK11" s="291"/>
      <c r="IL11" s="291"/>
      <c r="IM11" s="291"/>
      <c r="IN11" s="291"/>
      <c r="IO11" s="291"/>
      <c r="IP11" s="291"/>
      <c r="IQ11" s="291"/>
      <c r="IR11" s="291"/>
      <c r="IS11" s="291"/>
      <c r="IT11" s="291"/>
      <c r="IU11" s="291"/>
      <c r="IV11" s="291"/>
      <c r="IW11" s="291"/>
      <c r="IX11" s="291"/>
      <c r="IY11" s="291"/>
      <c r="IZ11" s="291"/>
      <c r="JA11" s="291"/>
      <c r="JB11" s="291"/>
      <c r="JC11" s="291"/>
      <c r="JD11" s="291"/>
      <c r="JE11" s="291"/>
      <c r="JF11" s="291"/>
      <c r="JG11" s="291"/>
      <c r="JH11" s="291"/>
      <c r="JI11" s="291"/>
      <c r="JJ11" s="291"/>
      <c r="JK11" s="291"/>
      <c r="JL11" s="291"/>
      <c r="JM11" s="291"/>
      <c r="JN11" s="291"/>
      <c r="JO11" s="291"/>
      <c r="JP11" s="291"/>
      <c r="JQ11" s="291"/>
      <c r="JR11" s="291"/>
      <c r="JS11" s="291"/>
      <c r="JT11" s="291"/>
      <c r="JU11" s="291"/>
      <c r="JV11" s="291"/>
      <c r="JW11" s="291"/>
      <c r="JX11" s="291"/>
      <c r="JY11" s="291"/>
      <c r="JZ11" s="291"/>
      <c r="KA11" s="291"/>
      <c r="KB11" s="291"/>
      <c r="KC11" s="291"/>
      <c r="KD11" s="291"/>
      <c r="KE11" s="291"/>
      <c r="KF11" s="291"/>
      <c r="KG11" s="291"/>
      <c r="KH11" s="291"/>
      <c r="KI11" s="291"/>
      <c r="KJ11" s="291"/>
      <c r="KK11" s="291"/>
      <c r="KL11" s="291"/>
      <c r="KM11" s="291"/>
      <c r="KN11" s="291"/>
      <c r="KO11" s="291"/>
      <c r="KP11" s="291"/>
      <c r="KQ11" s="291"/>
      <c r="KR11" s="291"/>
      <c r="KS11" s="291"/>
      <c r="KT11" s="291"/>
      <c r="KU11" s="291"/>
      <c r="KV11" s="291"/>
      <c r="KW11" s="291"/>
      <c r="KX11" s="291"/>
      <c r="KY11" s="291"/>
      <c r="KZ11" s="291"/>
      <c r="LA11" s="291"/>
      <c r="LB11" s="291"/>
      <c r="LC11" s="291"/>
      <c r="LD11" s="291"/>
      <c r="LE11" s="291"/>
      <c r="LF11" s="291"/>
      <c r="LG11" s="291"/>
      <c r="LH11" s="291"/>
      <c r="LI11" s="291"/>
      <c r="LJ11" s="291"/>
      <c r="LK11" s="291"/>
      <c r="LL11" s="291"/>
      <c r="LM11" s="291"/>
      <c r="LN11" s="291"/>
      <c r="LO11" s="291"/>
      <c r="LP11" s="291"/>
      <c r="LQ11" s="291"/>
      <c r="LR11" s="291"/>
      <c r="LS11" s="291"/>
      <c r="LT11" s="291"/>
      <c r="LU11" s="291"/>
      <c r="LV11" s="291"/>
      <c r="LW11" s="291"/>
      <c r="LX11" s="291"/>
      <c r="LY11" s="291"/>
      <c r="LZ11" s="291"/>
      <c r="MA11" s="291"/>
      <c r="MB11" s="291"/>
      <c r="MC11" s="291"/>
      <c r="MD11" s="291"/>
      <c r="ME11" s="291"/>
      <c r="MF11" s="291"/>
      <c r="MG11" s="291"/>
      <c r="MH11" s="291"/>
      <c r="MI11" s="291"/>
      <c r="MJ11" s="291"/>
      <c r="MK11" s="291"/>
      <c r="ML11" s="291"/>
      <c r="MM11" s="291"/>
      <c r="MN11" s="291"/>
      <c r="MO11" s="291"/>
      <c r="MP11" s="291"/>
      <c r="MQ11" s="291"/>
      <c r="MR11" s="291"/>
      <c r="MS11" s="291"/>
      <c r="MT11" s="291"/>
      <c r="MU11" s="291"/>
      <c r="MV11" s="291"/>
      <c r="MW11" s="291"/>
      <c r="MX11" s="291"/>
      <c r="MY11" s="291"/>
      <c r="MZ11" s="291"/>
      <c r="NA11" s="291"/>
      <c r="NB11" s="291"/>
      <c r="NC11" s="291"/>
      <c r="ND11" s="291"/>
      <c r="NE11" s="291"/>
      <c r="NF11" s="291"/>
      <c r="NG11" s="291"/>
      <c r="NH11" s="291"/>
      <c r="NI11" s="291"/>
      <c r="NJ11" s="291"/>
      <c r="NK11" s="291"/>
      <c r="NL11" s="291"/>
      <c r="NM11" s="291"/>
      <c r="NN11" s="291"/>
      <c r="NO11" s="291"/>
      <c r="NP11" s="291"/>
      <c r="NQ11" s="291"/>
      <c r="NR11" s="291"/>
      <c r="NS11" s="291"/>
      <c r="NT11" s="291"/>
      <c r="NU11" s="291"/>
      <c r="NV11" s="291"/>
      <c r="NW11" s="291"/>
      <c r="NX11" s="291"/>
      <c r="NY11" s="291"/>
      <c r="NZ11" s="291"/>
      <c r="OA11" s="291"/>
      <c r="OB11" s="291"/>
      <c r="OC11" s="291"/>
      <c r="OD11" s="291"/>
    </row>
    <row r="12" spans="1:394" s="17" customFormat="1" ht="12" customHeight="1">
      <c r="A12" s="316" t="s">
        <v>223</v>
      </c>
      <c r="B12" s="204"/>
      <c r="C12" s="319"/>
      <c r="D12" s="289"/>
      <c r="E12" s="14"/>
      <c r="F12" s="289"/>
      <c r="G12" s="289"/>
      <c r="H12" s="14"/>
      <c r="I12" s="289"/>
      <c r="J12" s="289"/>
      <c r="K12" s="14"/>
      <c r="L12" s="289"/>
      <c r="M12" s="289"/>
      <c r="N12" s="14"/>
      <c r="O12" s="289"/>
      <c r="P12" s="289"/>
      <c r="Q12" s="14"/>
      <c r="R12" s="289"/>
      <c r="S12" s="289"/>
      <c r="T12" s="14"/>
      <c r="U12" s="289"/>
      <c r="V12" s="289"/>
      <c r="W12" s="14"/>
      <c r="X12" s="289"/>
      <c r="Y12" s="289"/>
      <c r="Z12" s="14"/>
      <c r="AA12" s="289"/>
      <c r="AB12" s="289"/>
      <c r="AC12" s="14"/>
      <c r="AD12" s="289"/>
      <c r="AE12" s="289"/>
      <c r="AF12" s="14"/>
      <c r="AG12" s="289"/>
      <c r="AH12" s="289"/>
      <c r="AI12" s="14"/>
      <c r="AJ12" s="289"/>
      <c r="AK12" s="289"/>
      <c r="AL12" s="14"/>
      <c r="AM12" s="289"/>
      <c r="AN12" s="289"/>
      <c r="AO12" s="14"/>
      <c r="AP12" s="301" t="str">
        <f t="shared" si="0"/>
        <v xml:space="preserve">        Matl. Prot.                   (1S)    </v>
      </c>
      <c r="AQ12" s="204"/>
      <c r="AR12" s="205"/>
      <c r="AS12" s="289"/>
      <c r="AT12" s="14"/>
      <c r="AU12" s="291"/>
      <c r="AV12" s="289"/>
      <c r="AW12" s="14"/>
      <c r="AX12" s="291"/>
      <c r="AY12" s="289"/>
      <c r="AZ12" s="14"/>
      <c r="BA12" s="291"/>
      <c r="BB12" s="289" t="s">
        <v>332</v>
      </c>
      <c r="BC12" s="14"/>
      <c r="BD12" s="291"/>
      <c r="BE12" s="289" t="s">
        <v>91</v>
      </c>
      <c r="BF12" s="289"/>
      <c r="BG12" s="291"/>
      <c r="BH12" s="289"/>
      <c r="BI12" s="289"/>
      <c r="BJ12" s="291"/>
      <c r="BK12" s="289"/>
      <c r="BL12" s="289"/>
      <c r="BM12" s="291"/>
      <c r="BN12" s="289"/>
      <c r="BO12" s="289"/>
      <c r="BP12" s="291"/>
      <c r="BQ12" s="289"/>
      <c r="BR12" s="289"/>
      <c r="BS12" s="291"/>
      <c r="BT12" s="289"/>
      <c r="BU12" s="289"/>
      <c r="BV12" s="291"/>
      <c r="BW12" s="289"/>
      <c r="BX12" s="289"/>
      <c r="BY12" s="291"/>
      <c r="BZ12" s="289"/>
      <c r="CA12" s="289"/>
      <c r="CB12" s="291"/>
      <c r="CC12" s="291"/>
      <c r="EG12" s="291"/>
      <c r="EH12" s="291"/>
      <c r="EI12" s="291"/>
      <c r="EJ12" s="291"/>
      <c r="EK12" s="291"/>
      <c r="EL12" s="291"/>
      <c r="EM12" s="291"/>
      <c r="EN12" s="291"/>
      <c r="EO12" s="291"/>
      <c r="EP12" s="291"/>
      <c r="EQ12" s="291"/>
      <c r="ER12" s="291"/>
      <c r="ES12" s="291"/>
      <c r="ET12" s="291"/>
      <c r="EU12" s="291"/>
      <c r="EV12" s="291"/>
      <c r="EW12" s="291"/>
      <c r="EX12" s="291"/>
      <c r="FA12" s="291"/>
      <c r="FB12" s="291"/>
      <c r="FC12" s="291"/>
      <c r="FD12" s="291"/>
      <c r="FE12" s="291"/>
      <c r="FF12" s="291"/>
      <c r="FG12" s="291"/>
      <c r="FH12" s="291"/>
      <c r="FI12" s="291"/>
      <c r="FJ12" s="291"/>
      <c r="FK12" s="291"/>
      <c r="FL12" s="291"/>
      <c r="FM12" s="291"/>
      <c r="FN12" s="291"/>
      <c r="FO12" s="291"/>
      <c r="FP12" s="291"/>
      <c r="FQ12" s="291"/>
      <c r="FR12" s="291"/>
      <c r="FS12" s="291"/>
      <c r="FT12" s="291"/>
      <c r="FU12" s="291"/>
      <c r="FV12" s="291"/>
      <c r="FW12" s="291"/>
      <c r="FX12" s="291"/>
      <c r="FY12" s="291"/>
      <c r="FZ12" s="291"/>
      <c r="GA12" s="291"/>
      <c r="GB12" s="291"/>
      <c r="GC12" s="291"/>
      <c r="GD12" s="291"/>
      <c r="GE12" s="291"/>
      <c r="GF12" s="291"/>
      <c r="GG12" s="291"/>
      <c r="GH12" s="291"/>
      <c r="GI12" s="291"/>
      <c r="GJ12" s="291"/>
      <c r="GK12" s="291"/>
      <c r="GL12" s="291"/>
      <c r="GM12" s="291"/>
      <c r="GN12" s="291"/>
      <c r="GO12" s="291"/>
      <c r="GP12" s="291"/>
      <c r="GQ12" s="291"/>
      <c r="GR12" s="291"/>
      <c r="GS12" s="291"/>
      <c r="GT12" s="291"/>
      <c r="GU12" s="291"/>
      <c r="GV12" s="291"/>
      <c r="GW12" s="291"/>
      <c r="GX12" s="291"/>
      <c r="GY12" s="291"/>
      <c r="GZ12" s="291"/>
      <c r="HA12" s="291"/>
      <c r="HB12" s="291"/>
      <c r="HC12" s="291"/>
      <c r="HD12" s="291"/>
      <c r="HE12" s="291"/>
      <c r="HF12" s="291"/>
      <c r="HG12" s="291"/>
      <c r="HH12" s="291"/>
      <c r="HI12" s="291"/>
      <c r="HJ12" s="291"/>
      <c r="HK12" s="291"/>
      <c r="HL12" s="291"/>
      <c r="HM12" s="291"/>
      <c r="HN12" s="291"/>
      <c r="HO12" s="291"/>
      <c r="HP12" s="291"/>
      <c r="HQ12" s="291"/>
      <c r="HR12" s="291"/>
      <c r="HS12" s="291"/>
      <c r="HT12" s="291"/>
      <c r="HU12" s="291"/>
      <c r="HV12" s="291"/>
      <c r="HW12" s="291"/>
      <c r="HX12" s="291"/>
      <c r="HY12" s="291"/>
      <c r="HZ12" s="291"/>
      <c r="IA12" s="291"/>
      <c r="IB12" s="291"/>
      <c r="IC12" s="291"/>
      <c r="ID12" s="291"/>
      <c r="IE12" s="291"/>
      <c r="IF12" s="291"/>
      <c r="IG12" s="291"/>
      <c r="IH12" s="291"/>
      <c r="II12" s="291"/>
      <c r="IJ12" s="291"/>
      <c r="IK12" s="291"/>
      <c r="IL12" s="291"/>
      <c r="IM12" s="291"/>
      <c r="IN12" s="291"/>
      <c r="IO12" s="291"/>
      <c r="IP12" s="291"/>
      <c r="IQ12" s="291"/>
      <c r="IR12" s="291"/>
      <c r="IS12" s="291"/>
      <c r="IT12" s="291"/>
      <c r="IU12" s="291"/>
      <c r="IV12" s="291"/>
      <c r="IW12" s="291"/>
      <c r="IX12" s="291"/>
      <c r="IY12" s="291"/>
      <c r="IZ12" s="291"/>
      <c r="JA12" s="291"/>
      <c r="JB12" s="291"/>
      <c r="JC12" s="291"/>
      <c r="JD12" s="291"/>
      <c r="JE12" s="291"/>
      <c r="JF12" s="291"/>
      <c r="JG12" s="291"/>
      <c r="JH12" s="291"/>
      <c r="JI12" s="291"/>
      <c r="JJ12" s="291"/>
      <c r="JK12" s="291"/>
      <c r="JL12" s="291"/>
      <c r="JM12" s="291"/>
      <c r="JN12" s="291"/>
      <c r="JO12" s="291"/>
      <c r="JP12" s="291"/>
      <c r="JQ12" s="291"/>
      <c r="JR12" s="291"/>
      <c r="JS12" s="291"/>
      <c r="JT12" s="291"/>
      <c r="JU12" s="291"/>
      <c r="JV12" s="291"/>
      <c r="JW12" s="291"/>
      <c r="JX12" s="291"/>
      <c r="JY12" s="291"/>
      <c r="JZ12" s="291"/>
      <c r="KA12" s="291"/>
      <c r="KB12" s="291"/>
      <c r="KC12" s="291"/>
      <c r="KD12" s="291"/>
      <c r="KE12" s="291"/>
      <c r="KF12" s="291"/>
      <c r="KG12" s="291"/>
      <c r="KH12" s="291"/>
      <c r="KI12" s="291"/>
      <c r="KJ12" s="291"/>
      <c r="KK12" s="291"/>
      <c r="KL12" s="291"/>
      <c r="KM12" s="291"/>
      <c r="KN12" s="291"/>
      <c r="KO12" s="291"/>
      <c r="KP12" s="291"/>
      <c r="KQ12" s="291"/>
      <c r="KR12" s="291"/>
      <c r="KS12" s="291"/>
      <c r="KT12" s="291"/>
      <c r="KU12" s="291"/>
      <c r="KV12" s="291"/>
      <c r="KW12" s="291"/>
      <c r="KX12" s="291"/>
      <c r="KY12" s="291"/>
      <c r="KZ12" s="291"/>
      <c r="LA12" s="291"/>
      <c r="LB12" s="291"/>
      <c r="LC12" s="291"/>
      <c r="LD12" s="291"/>
      <c r="LE12" s="291"/>
      <c r="LF12" s="291"/>
      <c r="LG12" s="291"/>
      <c r="LH12" s="291"/>
      <c r="LI12" s="291"/>
      <c r="LJ12" s="291"/>
      <c r="LK12" s="291"/>
      <c r="LL12" s="291"/>
      <c r="LM12" s="291"/>
      <c r="LN12" s="291"/>
      <c r="LO12" s="291"/>
      <c r="LP12" s="291"/>
      <c r="LQ12" s="291"/>
      <c r="LR12" s="291"/>
      <c r="LS12" s="291"/>
      <c r="LT12" s="291"/>
      <c r="LU12" s="291"/>
      <c r="LV12" s="291"/>
      <c r="LW12" s="291"/>
      <c r="LX12" s="291"/>
      <c r="LY12" s="291"/>
      <c r="LZ12" s="291"/>
      <c r="MA12" s="291"/>
      <c r="MB12" s="291"/>
      <c r="MC12" s="291"/>
      <c r="MD12" s="291"/>
      <c r="ME12" s="291"/>
      <c r="MF12" s="291"/>
      <c r="MG12" s="291"/>
      <c r="MH12" s="291"/>
      <c r="MI12" s="291"/>
      <c r="MJ12" s="291"/>
      <c r="MK12" s="291"/>
      <c r="ML12" s="291"/>
      <c r="MM12" s="291"/>
      <c r="MN12" s="291"/>
      <c r="MO12" s="291"/>
      <c r="MP12" s="291"/>
      <c r="MQ12" s="291"/>
      <c r="MR12" s="291"/>
      <c r="MS12" s="291"/>
      <c r="MT12" s="291"/>
      <c r="MU12" s="291"/>
      <c r="MV12" s="291"/>
      <c r="MW12" s="291"/>
      <c r="MX12" s="291"/>
      <c r="MY12" s="291"/>
      <c r="MZ12" s="291"/>
      <c r="NA12" s="291"/>
      <c r="NB12" s="291"/>
      <c r="NC12" s="291"/>
      <c r="ND12" s="291"/>
      <c r="NE12" s="291"/>
      <c r="NF12" s="291"/>
      <c r="NG12" s="291"/>
      <c r="NH12" s="291"/>
      <c r="NI12" s="291"/>
      <c r="NJ12" s="291"/>
      <c r="NK12" s="291"/>
      <c r="NL12" s="291"/>
      <c r="NM12" s="291"/>
      <c r="NN12" s="291"/>
      <c r="NO12" s="291"/>
      <c r="NP12" s="291"/>
      <c r="NQ12" s="291"/>
      <c r="NR12" s="291"/>
      <c r="NS12" s="291"/>
      <c r="NT12" s="291"/>
      <c r="NU12" s="291"/>
      <c r="NV12" s="291"/>
      <c r="NW12" s="291"/>
      <c r="NX12" s="291"/>
      <c r="NY12" s="291"/>
      <c r="NZ12" s="291"/>
      <c r="OA12" s="291"/>
      <c r="OB12" s="291"/>
      <c r="OC12" s="291"/>
      <c r="OD12" s="291"/>
    </row>
    <row r="13" spans="1:394" s="291" customFormat="1" ht="12" customHeight="1">
      <c r="A13" s="285" t="s">
        <v>185</v>
      </c>
      <c r="B13" s="155"/>
      <c r="C13" s="46"/>
      <c r="D13" s="475"/>
      <c r="E13" s="475"/>
      <c r="F13" s="298"/>
      <c r="G13" s="460"/>
      <c r="H13" s="475"/>
      <c r="I13" s="298"/>
      <c r="J13" s="460"/>
      <c r="K13" s="475"/>
      <c r="L13" s="298"/>
      <c r="M13" s="475"/>
      <c r="N13" s="475"/>
      <c r="O13" s="298"/>
      <c r="P13" s="475"/>
      <c r="Q13" s="475"/>
      <c r="R13" s="298"/>
      <c r="S13" s="460"/>
      <c r="T13" s="475"/>
      <c r="U13" s="298"/>
      <c r="V13" s="460"/>
      <c r="W13" s="475"/>
      <c r="X13" s="298"/>
      <c r="Y13" s="460"/>
      <c r="Z13" s="475"/>
      <c r="AA13" s="298"/>
      <c r="AB13" s="460"/>
      <c r="AC13" s="475"/>
      <c r="AD13" s="298"/>
      <c r="AE13" s="460"/>
      <c r="AF13" s="475"/>
      <c r="AG13" s="298"/>
      <c r="AH13" s="460"/>
      <c r="AI13" s="475"/>
      <c r="AJ13" s="298"/>
      <c r="AK13" s="460"/>
      <c r="AL13" s="475"/>
      <c r="AM13" s="298"/>
      <c r="AN13" s="460"/>
      <c r="AO13" s="475"/>
      <c r="AP13" s="321" t="str">
        <f t="shared" si="0"/>
        <v>Vehicle Schedule @ MPW</v>
      </c>
      <c r="AQ13" s="108"/>
      <c r="AR13" s="375"/>
      <c r="AS13" s="460"/>
      <c r="AT13" s="475"/>
      <c r="AU13" s="309"/>
      <c r="AV13" s="460"/>
      <c r="AW13" s="475"/>
      <c r="AX13" s="309"/>
      <c r="AY13" s="460"/>
      <c r="AZ13" s="475"/>
      <c r="BA13" s="309"/>
      <c r="BB13" s="460"/>
      <c r="BC13" s="475"/>
      <c r="BD13" s="309"/>
      <c r="BE13" s="460"/>
      <c r="BF13" s="475"/>
      <c r="BG13" s="309"/>
      <c r="BH13" s="460"/>
      <c r="BI13" s="475"/>
      <c r="BJ13" s="309"/>
      <c r="BK13" s="460"/>
      <c r="BL13" s="475"/>
      <c r="BM13" s="309"/>
      <c r="BN13" s="460"/>
      <c r="BO13" s="475"/>
      <c r="BP13" s="309"/>
      <c r="BQ13" s="460"/>
      <c r="BR13" s="475"/>
      <c r="BS13" s="309"/>
      <c r="BT13" s="460" t="s">
        <v>79</v>
      </c>
      <c r="BU13" s="475"/>
      <c r="BV13" s="309"/>
      <c r="BW13" s="460"/>
      <c r="BX13" s="475"/>
      <c r="BY13" s="309"/>
      <c r="BZ13" s="460"/>
      <c r="CA13" s="475"/>
      <c r="CB13" s="210"/>
    </row>
    <row r="14" spans="1:394" s="17" customFormat="1" ht="12" customHeight="1" thickBot="1">
      <c r="A14" s="159" t="s">
        <v>149</v>
      </c>
      <c r="B14" s="109" t="s">
        <v>129</v>
      </c>
      <c r="C14" s="47"/>
      <c r="D14" s="472">
        <v>105</v>
      </c>
      <c r="E14" s="472"/>
      <c r="F14" s="526"/>
      <c r="G14" s="472">
        <v>89</v>
      </c>
      <c r="H14" s="472"/>
      <c r="I14" s="526"/>
      <c r="J14" s="566">
        <v>89</v>
      </c>
      <c r="K14" s="567"/>
      <c r="L14" s="526"/>
      <c r="M14" s="495">
        <v>85</v>
      </c>
      <c r="N14" s="567"/>
      <c r="O14" s="293"/>
      <c r="P14" s="472">
        <v>68</v>
      </c>
      <c r="Q14" s="567"/>
      <c r="R14" s="293"/>
      <c r="S14" s="293" t="s">
        <v>4</v>
      </c>
      <c r="T14" s="293"/>
      <c r="U14" s="293"/>
      <c r="V14" s="472">
        <v>83</v>
      </c>
      <c r="W14" s="472"/>
      <c r="X14" s="293"/>
      <c r="Y14" s="472">
        <v>85</v>
      </c>
      <c r="Z14" s="293"/>
      <c r="AA14" s="293"/>
      <c r="AB14" s="472">
        <v>84</v>
      </c>
      <c r="AC14" s="472"/>
      <c r="AD14" s="293"/>
      <c r="AE14" s="472">
        <v>85</v>
      </c>
      <c r="AF14" s="472"/>
      <c r="AG14" s="293"/>
      <c r="AH14" s="472">
        <v>84</v>
      </c>
      <c r="AI14" s="472"/>
      <c r="AJ14" s="293"/>
      <c r="AK14" s="472" t="s">
        <v>311</v>
      </c>
      <c r="AL14" s="472"/>
      <c r="AM14" s="293"/>
      <c r="AN14" s="472">
        <v>84</v>
      </c>
      <c r="AO14" s="591"/>
      <c r="AP14" s="535" t="str">
        <f t="shared" si="0"/>
        <v>Fusion / MKZ - Hermosillo</v>
      </c>
      <c r="AQ14" s="320" t="s">
        <v>129</v>
      </c>
      <c r="AR14" s="377"/>
      <c r="AS14" s="472">
        <v>85</v>
      </c>
      <c r="AT14" s="472"/>
      <c r="AU14" s="456"/>
      <c r="AV14" s="472">
        <v>67</v>
      </c>
      <c r="AW14" s="472"/>
      <c r="AX14" s="456"/>
      <c r="AY14" s="472">
        <v>85</v>
      </c>
      <c r="AZ14" s="472"/>
      <c r="BA14" s="456"/>
      <c r="BB14" s="472">
        <v>85</v>
      </c>
      <c r="BC14" s="472"/>
      <c r="BD14" s="456"/>
      <c r="BE14" s="472">
        <v>85</v>
      </c>
      <c r="BF14" s="472"/>
      <c r="BG14" s="456"/>
      <c r="BH14" s="472">
        <v>50</v>
      </c>
      <c r="BI14" s="472"/>
      <c r="BJ14" s="456"/>
      <c r="BK14" s="293" t="s">
        <v>116</v>
      </c>
      <c r="BL14" s="293"/>
      <c r="BM14" s="456"/>
      <c r="BN14" s="174">
        <v>83</v>
      </c>
      <c r="BO14" s="174">
        <v>21</v>
      </c>
      <c r="BP14" s="456"/>
      <c r="BQ14" s="174">
        <v>107</v>
      </c>
      <c r="BR14" s="603">
        <v>13</v>
      </c>
      <c r="BS14" s="456"/>
      <c r="BT14" s="603">
        <v>68</v>
      </c>
      <c r="BU14" s="603"/>
      <c r="BV14" s="456"/>
      <c r="BW14" s="174">
        <v>107</v>
      </c>
      <c r="BX14" s="174">
        <v>19</v>
      </c>
      <c r="BY14" s="456"/>
      <c r="BZ14" s="293" t="s">
        <v>311</v>
      </c>
      <c r="CA14" s="293"/>
      <c r="CB14" s="14"/>
      <c r="CC14" s="291"/>
      <c r="CF14" s="17" t="s">
        <v>6</v>
      </c>
      <c r="EG14" s="291"/>
      <c r="EH14" s="291"/>
      <c r="EI14" s="291"/>
      <c r="EJ14" s="291"/>
      <c r="EK14" s="291"/>
      <c r="EL14" s="291"/>
      <c r="EM14" s="291"/>
      <c r="EN14" s="291"/>
      <c r="EO14" s="291"/>
      <c r="EP14" s="291"/>
      <c r="EQ14" s="291"/>
      <c r="ER14" s="291"/>
      <c r="ES14" s="291"/>
      <c r="ET14" s="291"/>
      <c r="EU14" s="291"/>
      <c r="EV14" s="291"/>
      <c r="EW14" s="291"/>
      <c r="EX14" s="291"/>
      <c r="FA14" s="291"/>
      <c r="FB14" s="291"/>
      <c r="FC14" s="291"/>
      <c r="FD14" s="291"/>
      <c r="FE14" s="291"/>
      <c r="FF14" s="291"/>
      <c r="FG14" s="291"/>
      <c r="FH14" s="291"/>
      <c r="FI14" s="291"/>
      <c r="FJ14" s="291"/>
      <c r="FK14" s="291"/>
      <c r="FL14" s="291"/>
      <c r="FM14" s="291"/>
      <c r="FN14" s="291"/>
      <c r="FO14" s="291"/>
      <c r="FP14" s="291"/>
      <c r="FQ14" s="291"/>
      <c r="FR14" s="291"/>
      <c r="FS14" s="291"/>
      <c r="FT14" s="291"/>
      <c r="FU14" s="291"/>
      <c r="FV14" s="291"/>
      <c r="FW14" s="291"/>
      <c r="FX14" s="291"/>
      <c r="FY14" s="291"/>
      <c r="FZ14" s="291"/>
      <c r="GA14" s="291"/>
      <c r="GB14" s="291"/>
      <c r="GC14" s="291"/>
      <c r="GD14" s="291"/>
      <c r="GE14" s="291"/>
      <c r="GF14" s="291"/>
      <c r="GG14" s="291"/>
      <c r="GH14" s="291"/>
      <c r="GI14" s="291"/>
      <c r="GJ14" s="291"/>
      <c r="GK14" s="291"/>
      <c r="GL14" s="291"/>
      <c r="GM14" s="291"/>
      <c r="GN14" s="291"/>
      <c r="GO14" s="291"/>
      <c r="GP14" s="291"/>
      <c r="GQ14" s="291"/>
      <c r="GR14" s="291"/>
      <c r="GS14" s="291"/>
      <c r="GT14" s="291"/>
      <c r="GU14" s="291"/>
      <c r="GV14" s="291"/>
      <c r="GW14" s="291"/>
      <c r="GX14" s="291"/>
      <c r="GY14" s="291"/>
      <c r="GZ14" s="291"/>
      <c r="HA14" s="291"/>
      <c r="HB14" s="291"/>
      <c r="HC14" s="291"/>
      <c r="HD14" s="291"/>
      <c r="HE14" s="291"/>
      <c r="HF14" s="291"/>
      <c r="HG14" s="291"/>
      <c r="HH14" s="291"/>
      <c r="HI14" s="291"/>
      <c r="HJ14" s="291"/>
      <c r="HK14" s="291"/>
      <c r="HL14" s="291"/>
      <c r="HM14" s="291"/>
      <c r="HN14" s="291"/>
      <c r="HO14" s="291"/>
      <c r="HP14" s="291"/>
      <c r="HQ14" s="291"/>
      <c r="HR14" s="291"/>
      <c r="HS14" s="291"/>
      <c r="HT14" s="291"/>
      <c r="HU14" s="291"/>
      <c r="HV14" s="291"/>
      <c r="HW14" s="291"/>
      <c r="HX14" s="291"/>
      <c r="HY14" s="291"/>
      <c r="HZ14" s="291"/>
      <c r="IA14" s="291"/>
      <c r="IB14" s="291"/>
      <c r="IC14" s="291"/>
      <c r="ID14" s="291"/>
      <c r="IE14" s="291"/>
      <c r="IF14" s="291"/>
      <c r="IG14" s="291"/>
      <c r="IH14" s="291"/>
      <c r="II14" s="291"/>
      <c r="IJ14" s="291"/>
      <c r="IK14" s="291"/>
      <c r="IL14" s="291"/>
      <c r="IM14" s="291"/>
      <c r="IN14" s="291"/>
      <c r="IO14" s="291"/>
      <c r="IP14" s="291"/>
      <c r="IQ14" s="291"/>
      <c r="IR14" s="291"/>
      <c r="IS14" s="291"/>
      <c r="IT14" s="291"/>
      <c r="IU14" s="291"/>
      <c r="IV14" s="291"/>
      <c r="IW14" s="291"/>
      <c r="IX14" s="291"/>
      <c r="IY14" s="291"/>
      <c r="IZ14" s="291"/>
      <c r="JA14" s="291"/>
      <c r="JB14" s="291"/>
      <c r="JC14" s="291"/>
      <c r="JD14" s="291"/>
      <c r="JE14" s="291"/>
      <c r="JF14" s="291"/>
      <c r="JG14" s="291"/>
      <c r="JH14" s="291"/>
      <c r="JI14" s="291"/>
      <c r="JJ14" s="291"/>
      <c r="JK14" s="291"/>
      <c r="JL14" s="291"/>
      <c r="JM14" s="291"/>
      <c r="JN14" s="291"/>
      <c r="JO14" s="291"/>
      <c r="JP14" s="291"/>
      <c r="JQ14" s="291"/>
      <c r="JR14" s="291"/>
      <c r="JS14" s="291"/>
      <c r="JT14" s="291"/>
      <c r="JU14" s="291"/>
      <c r="JV14" s="291"/>
      <c r="JW14" s="291"/>
      <c r="JX14" s="291"/>
      <c r="JY14" s="291"/>
      <c r="JZ14" s="291"/>
      <c r="KA14" s="291"/>
      <c r="KB14" s="291"/>
      <c r="KC14" s="291"/>
      <c r="KD14" s="291"/>
      <c r="KE14" s="291"/>
      <c r="KF14" s="291"/>
      <c r="KG14" s="291"/>
      <c r="KH14" s="291"/>
      <c r="KI14" s="291"/>
      <c r="KJ14" s="291"/>
      <c r="KK14" s="291"/>
      <c r="KL14" s="291"/>
      <c r="KM14" s="291"/>
      <c r="KN14" s="291"/>
      <c r="KO14" s="291"/>
      <c r="KP14" s="291"/>
      <c r="KQ14" s="291"/>
      <c r="KR14" s="291"/>
      <c r="KS14" s="291"/>
      <c r="KT14" s="291"/>
      <c r="KU14" s="291"/>
      <c r="KV14" s="291"/>
      <c r="KW14" s="291"/>
      <c r="KX14" s="291"/>
      <c r="KY14" s="291"/>
      <c r="KZ14" s="291"/>
      <c r="LA14" s="291"/>
      <c r="LB14" s="291"/>
      <c r="LC14" s="291"/>
      <c r="LD14" s="291"/>
      <c r="LE14" s="291"/>
      <c r="LF14" s="291"/>
      <c r="LG14" s="291"/>
      <c r="LH14" s="291"/>
      <c r="LI14" s="291"/>
      <c r="LJ14" s="291"/>
      <c r="LK14" s="291"/>
      <c r="LL14" s="291"/>
      <c r="LM14" s="291"/>
      <c r="LN14" s="291"/>
      <c r="LO14" s="291"/>
      <c r="LP14" s="291"/>
      <c r="LQ14" s="291"/>
      <c r="LR14" s="291"/>
      <c r="LS14" s="291"/>
      <c r="LT14" s="291"/>
      <c r="LU14" s="291"/>
      <c r="LV14" s="291"/>
      <c r="LW14" s="291"/>
      <c r="LX14" s="291"/>
      <c r="LY14" s="291"/>
      <c r="LZ14" s="291"/>
      <c r="MA14" s="291"/>
      <c r="MB14" s="291"/>
      <c r="MC14" s="291"/>
      <c r="MD14" s="291"/>
      <c r="ME14" s="291"/>
      <c r="MF14" s="291"/>
      <c r="MG14" s="291"/>
      <c r="MH14" s="291"/>
      <c r="MI14" s="291"/>
      <c r="MJ14" s="291"/>
      <c r="MK14" s="291"/>
      <c r="ML14" s="291"/>
      <c r="MM14" s="291"/>
      <c r="MN14" s="291"/>
      <c r="MO14" s="291"/>
      <c r="MP14" s="291"/>
      <c r="MQ14" s="291"/>
      <c r="MR14" s="291"/>
      <c r="MS14" s="291"/>
      <c r="MT14" s="291"/>
      <c r="MU14" s="291"/>
      <c r="MV14" s="291"/>
      <c r="MW14" s="291"/>
      <c r="MX14" s="291"/>
      <c r="MY14" s="291"/>
      <c r="MZ14" s="291"/>
      <c r="NA14" s="291"/>
      <c r="NB14" s="291"/>
      <c r="NC14" s="291"/>
      <c r="ND14" s="291"/>
      <c r="NE14" s="291"/>
      <c r="NF14" s="291"/>
      <c r="NG14" s="291"/>
      <c r="NH14" s="291"/>
      <c r="NI14" s="291"/>
      <c r="NJ14" s="291"/>
      <c r="NK14" s="291"/>
      <c r="NL14" s="291"/>
      <c r="NM14" s="291"/>
      <c r="NN14" s="291"/>
      <c r="NO14" s="291"/>
      <c r="NP14" s="291"/>
      <c r="NQ14" s="291"/>
      <c r="NR14" s="291"/>
      <c r="NS14" s="291"/>
      <c r="NT14" s="291"/>
      <c r="NU14" s="291"/>
      <c r="NV14" s="291"/>
      <c r="NW14" s="291"/>
      <c r="NX14" s="291"/>
      <c r="NY14" s="291"/>
      <c r="NZ14" s="291"/>
      <c r="OA14" s="291"/>
      <c r="OB14" s="291"/>
      <c r="OC14" s="291"/>
      <c r="OD14" s="291"/>
    </row>
    <row r="15" spans="1:394" s="20" customFormat="1" ht="12" customHeight="1">
      <c r="A15" s="314" t="s">
        <v>144</v>
      </c>
      <c r="B15" s="109"/>
      <c r="C15" s="286"/>
      <c r="D15" s="14"/>
      <c r="E15" s="289"/>
      <c r="F15" s="298"/>
      <c r="G15" s="14"/>
      <c r="H15" s="14"/>
      <c r="I15" s="298"/>
      <c r="J15" s="14"/>
      <c r="K15" s="90"/>
      <c r="L15" s="298"/>
      <c r="M15" s="521" t="s">
        <v>329</v>
      </c>
      <c r="N15" s="14"/>
      <c r="O15" s="298"/>
      <c r="P15" s="14"/>
      <c r="Q15" s="14"/>
      <c r="R15" s="298"/>
      <c r="S15" s="14"/>
      <c r="T15" s="14"/>
      <c r="U15" s="298"/>
      <c r="V15" s="14"/>
      <c r="W15" s="14"/>
      <c r="X15" s="298"/>
      <c r="Y15" s="14"/>
      <c r="Z15" s="14"/>
      <c r="AA15" s="298"/>
      <c r="AB15" s="14"/>
      <c r="AC15" s="14"/>
      <c r="AD15" s="298"/>
      <c r="AE15" s="14"/>
      <c r="AF15" s="14"/>
      <c r="AG15" s="298"/>
      <c r="AH15" s="14"/>
      <c r="AI15" s="14"/>
      <c r="AJ15" s="298"/>
      <c r="AK15" s="14"/>
      <c r="AL15" s="14"/>
      <c r="AM15" s="298"/>
      <c r="AN15" s="14"/>
      <c r="AO15" s="14"/>
      <c r="AP15" s="301" t="str">
        <f t="shared" si="0"/>
        <v xml:space="preserve">          Matl. Prot.                (3S)</v>
      </c>
      <c r="AQ15" s="206"/>
      <c r="AR15" s="377"/>
      <c r="AS15" s="14">
        <v>21</v>
      </c>
      <c r="AT15" s="14"/>
      <c r="AU15" s="14"/>
      <c r="AV15" s="14">
        <v>21</v>
      </c>
      <c r="AW15" s="14"/>
      <c r="AX15" s="14"/>
      <c r="AY15" s="14">
        <v>17</v>
      </c>
      <c r="AZ15" s="14"/>
      <c r="BA15" s="14"/>
      <c r="BB15" s="14">
        <v>21</v>
      </c>
      <c r="BC15" s="14"/>
      <c r="BD15" s="14"/>
      <c r="BE15" s="289">
        <v>21</v>
      </c>
      <c r="BF15" s="289"/>
      <c r="BG15" s="14"/>
      <c r="BH15" s="289">
        <v>13</v>
      </c>
      <c r="BI15" s="289"/>
      <c r="BJ15" s="14"/>
      <c r="BK15" s="289"/>
      <c r="BL15" s="289"/>
      <c r="BM15" s="14"/>
      <c r="BN15" s="289"/>
      <c r="BO15" s="289"/>
      <c r="BP15" s="14"/>
      <c r="BQ15" s="289"/>
      <c r="BR15" s="289"/>
      <c r="BS15" s="14"/>
      <c r="BT15" s="289"/>
      <c r="BU15" s="289"/>
      <c r="BV15" s="14"/>
      <c r="BW15" s="289"/>
      <c r="BX15" s="289"/>
      <c r="BY15" s="14"/>
      <c r="BZ15" s="289"/>
      <c r="CA15" s="289"/>
      <c r="CB15" s="14"/>
      <c r="CC15" s="291"/>
      <c r="EG15" s="292"/>
      <c r="EH15" s="292"/>
      <c r="EI15" s="292"/>
      <c r="EJ15" s="292"/>
      <c r="EK15" s="292"/>
      <c r="EL15" s="292"/>
      <c r="EM15" s="292"/>
      <c r="EN15" s="292"/>
      <c r="EO15" s="292"/>
      <c r="EP15" s="292"/>
      <c r="EQ15" s="292"/>
      <c r="ER15" s="292"/>
      <c r="ES15" s="292"/>
      <c r="ET15" s="292"/>
      <c r="EU15" s="292"/>
      <c r="EV15" s="292"/>
      <c r="EW15" s="292"/>
      <c r="EX15" s="292"/>
      <c r="FA15" s="292"/>
      <c r="FB15" s="292"/>
      <c r="FC15" s="292"/>
      <c r="FD15" s="292"/>
      <c r="FE15" s="292"/>
      <c r="FF15" s="292"/>
      <c r="FG15" s="292"/>
      <c r="FH15" s="292"/>
      <c r="FI15" s="292"/>
      <c r="FJ15" s="292"/>
      <c r="FK15" s="292"/>
      <c r="FL15" s="292"/>
      <c r="FM15" s="292"/>
      <c r="FN15" s="292"/>
      <c r="FO15" s="292"/>
      <c r="FP15" s="292"/>
      <c r="FQ15" s="292"/>
      <c r="FR15" s="292"/>
      <c r="FS15" s="292"/>
      <c r="FT15" s="292"/>
      <c r="FU15" s="292"/>
      <c r="FV15" s="292"/>
      <c r="FW15" s="292"/>
      <c r="FX15" s="292"/>
      <c r="FY15" s="292"/>
      <c r="FZ15" s="292"/>
      <c r="GA15" s="292"/>
      <c r="GB15" s="292"/>
      <c r="GC15" s="292"/>
      <c r="GD15" s="292"/>
      <c r="GE15" s="292"/>
      <c r="GF15" s="292"/>
      <c r="GG15" s="292"/>
      <c r="GH15" s="292"/>
      <c r="GI15" s="292"/>
      <c r="GJ15" s="292"/>
      <c r="GK15" s="292"/>
      <c r="GL15" s="292"/>
      <c r="GM15" s="292"/>
      <c r="GN15" s="292"/>
      <c r="GO15" s="292"/>
      <c r="GP15" s="292"/>
      <c r="GQ15" s="292"/>
      <c r="GR15" s="292"/>
      <c r="GS15" s="292"/>
      <c r="GT15" s="292"/>
      <c r="GU15" s="292"/>
      <c r="GV15" s="292"/>
      <c r="GW15" s="292"/>
      <c r="GX15" s="292"/>
      <c r="GY15" s="292"/>
      <c r="GZ15" s="292"/>
      <c r="HA15" s="292"/>
      <c r="HB15" s="292"/>
      <c r="HC15" s="292"/>
      <c r="HD15" s="292"/>
      <c r="HE15" s="292"/>
      <c r="HF15" s="292"/>
      <c r="HG15" s="292"/>
      <c r="HH15" s="292"/>
      <c r="HI15" s="292"/>
      <c r="HJ15" s="292"/>
      <c r="HK15" s="292"/>
      <c r="HL15" s="292"/>
      <c r="HM15" s="292"/>
      <c r="HN15" s="292"/>
      <c r="HO15" s="292"/>
      <c r="HP15" s="292"/>
      <c r="HQ15" s="292"/>
      <c r="HR15" s="292"/>
      <c r="HS15" s="292"/>
      <c r="HT15" s="292"/>
      <c r="HU15" s="292"/>
      <c r="HV15" s="292"/>
      <c r="HW15" s="292"/>
      <c r="HX15" s="292"/>
      <c r="HY15" s="292"/>
      <c r="HZ15" s="292"/>
      <c r="IA15" s="292"/>
      <c r="IB15" s="292"/>
      <c r="IC15" s="292"/>
      <c r="ID15" s="292"/>
      <c r="IE15" s="292"/>
      <c r="IF15" s="292"/>
      <c r="IG15" s="292"/>
      <c r="IH15" s="292"/>
      <c r="II15" s="292"/>
      <c r="IJ15" s="292"/>
      <c r="IK15" s="292"/>
      <c r="IL15" s="292"/>
      <c r="IM15" s="292"/>
      <c r="IN15" s="292"/>
      <c r="IO15" s="292"/>
      <c r="IP15" s="292"/>
      <c r="IQ15" s="292"/>
      <c r="IR15" s="292"/>
      <c r="IS15" s="292"/>
      <c r="IT15" s="292"/>
      <c r="IU15" s="292"/>
      <c r="IV15" s="292"/>
      <c r="IW15" s="292"/>
      <c r="IX15" s="292"/>
      <c r="IY15" s="292"/>
      <c r="IZ15" s="292"/>
      <c r="JA15" s="292"/>
      <c r="JB15" s="292"/>
      <c r="JC15" s="292"/>
      <c r="JD15" s="292"/>
      <c r="JE15" s="292"/>
      <c r="JF15" s="292"/>
      <c r="JG15" s="292"/>
      <c r="JH15" s="292"/>
      <c r="JI15" s="292"/>
      <c r="JJ15" s="292"/>
      <c r="JK15" s="292"/>
      <c r="JL15" s="292"/>
      <c r="JM15" s="292"/>
      <c r="JN15" s="292"/>
      <c r="JO15" s="292"/>
      <c r="JP15" s="292"/>
      <c r="JQ15" s="292"/>
      <c r="JR15" s="292"/>
      <c r="JS15" s="292"/>
      <c r="JT15" s="292"/>
      <c r="JU15" s="292"/>
      <c r="JV15" s="292"/>
      <c r="JW15" s="292"/>
      <c r="JX15" s="292"/>
      <c r="JY15" s="292"/>
      <c r="JZ15" s="292"/>
      <c r="KA15" s="292"/>
      <c r="KB15" s="292"/>
      <c r="KC15" s="292"/>
      <c r="KD15" s="292"/>
      <c r="KE15" s="292"/>
      <c r="KF15" s="292"/>
      <c r="KG15" s="292"/>
      <c r="KH15" s="292"/>
      <c r="KI15" s="292"/>
      <c r="KJ15" s="292"/>
      <c r="KK15" s="292"/>
      <c r="KL15" s="292"/>
      <c r="KM15" s="292"/>
      <c r="KN15" s="292"/>
      <c r="KO15" s="292"/>
      <c r="KP15" s="292"/>
      <c r="KQ15" s="292"/>
      <c r="KR15" s="292"/>
      <c r="KS15" s="292"/>
      <c r="KT15" s="292"/>
      <c r="KU15" s="292"/>
      <c r="KV15" s="292"/>
      <c r="KW15" s="292"/>
      <c r="KX15" s="292"/>
      <c r="KY15" s="292"/>
      <c r="KZ15" s="292"/>
      <c r="LA15" s="292"/>
      <c r="LB15" s="292"/>
      <c r="LC15" s="292"/>
      <c r="LD15" s="292"/>
      <c r="LE15" s="292"/>
      <c r="LF15" s="292"/>
      <c r="LG15" s="292"/>
      <c r="LH15" s="292"/>
      <c r="LI15" s="292"/>
      <c r="LJ15" s="292"/>
      <c r="LK15" s="292"/>
      <c r="LL15" s="292"/>
      <c r="LM15" s="292"/>
      <c r="LN15" s="292"/>
      <c r="LO15" s="292"/>
      <c r="LP15" s="292"/>
      <c r="LQ15" s="292"/>
      <c r="LR15" s="292"/>
      <c r="LS15" s="292"/>
      <c r="LT15" s="292"/>
      <c r="LU15" s="292"/>
      <c r="LV15" s="292"/>
      <c r="LW15" s="292"/>
      <c r="LX15" s="292"/>
      <c r="LY15" s="292"/>
      <c r="LZ15" s="292"/>
      <c r="MA15" s="292"/>
      <c r="MB15" s="292"/>
      <c r="MC15" s="292"/>
      <c r="MD15" s="292"/>
      <c r="ME15" s="292"/>
      <c r="MF15" s="292"/>
      <c r="MG15" s="292"/>
      <c r="MH15" s="292"/>
      <c r="MI15" s="292"/>
      <c r="MJ15" s="292"/>
      <c r="MK15" s="292"/>
      <c r="ML15" s="292"/>
      <c r="MM15" s="292"/>
      <c r="MN15" s="292"/>
      <c r="MO15" s="292"/>
      <c r="MP15" s="292"/>
      <c r="MQ15" s="292"/>
      <c r="MR15" s="292"/>
      <c r="MS15" s="292"/>
      <c r="MT15" s="292"/>
      <c r="MU15" s="292"/>
      <c r="MV15" s="292"/>
      <c r="MW15" s="292"/>
      <c r="MX15" s="292"/>
      <c r="MY15" s="292"/>
      <c r="MZ15" s="292"/>
      <c r="NA15" s="292"/>
      <c r="NB15" s="292"/>
      <c r="NC15" s="292"/>
      <c r="ND15" s="292"/>
      <c r="NE15" s="292"/>
      <c r="NF15" s="292"/>
      <c r="NG15" s="292"/>
      <c r="NH15" s="292"/>
      <c r="NI15" s="292"/>
      <c r="NJ15" s="292"/>
      <c r="NK15" s="292"/>
      <c r="NL15" s="292"/>
      <c r="NM15" s="292"/>
      <c r="NN15" s="292"/>
      <c r="NO15" s="292"/>
      <c r="NP15" s="292"/>
      <c r="NQ15" s="292"/>
      <c r="NR15" s="292"/>
      <c r="NS15" s="292"/>
      <c r="NT15" s="292"/>
      <c r="NU15" s="292"/>
      <c r="NV15" s="292"/>
      <c r="NW15" s="292"/>
      <c r="NX15" s="292"/>
      <c r="NY15" s="568"/>
      <c r="NZ15" s="568"/>
      <c r="OA15" s="575"/>
      <c r="OB15" s="575"/>
      <c r="OC15" s="578"/>
      <c r="OD15" s="578"/>
    </row>
    <row r="16" spans="1:394" s="291" customFormat="1" ht="12" customHeight="1">
      <c r="A16" s="285" t="s">
        <v>185</v>
      </c>
      <c r="B16" s="155"/>
      <c r="C16" s="46"/>
      <c r="D16" s="325"/>
      <c r="E16" s="210"/>
      <c r="F16" s="210"/>
      <c r="G16" s="460"/>
      <c r="H16" s="309"/>
      <c r="I16" s="210"/>
      <c r="J16" s="325"/>
      <c r="K16" s="527"/>
      <c r="L16" s="210"/>
      <c r="M16" s="565" t="s">
        <v>322</v>
      </c>
      <c r="N16" s="210"/>
      <c r="O16" s="210"/>
      <c r="P16" s="325"/>
      <c r="Q16" s="210"/>
      <c r="R16" s="210"/>
      <c r="S16" s="325"/>
      <c r="T16" s="210"/>
      <c r="U16" s="210"/>
      <c r="V16" s="325"/>
      <c r="W16" s="210"/>
      <c r="X16" s="210"/>
      <c r="Y16" s="210"/>
      <c r="Z16" s="210"/>
      <c r="AA16" s="210"/>
      <c r="AB16" s="325"/>
      <c r="AC16" s="210"/>
      <c r="AD16" s="210"/>
      <c r="AE16" s="325"/>
      <c r="AF16" s="210"/>
      <c r="AG16" s="210"/>
      <c r="AH16" s="210"/>
      <c r="AI16" s="210"/>
      <c r="AJ16" s="210"/>
      <c r="AK16" s="325"/>
      <c r="AL16" s="210"/>
      <c r="AM16" s="210"/>
      <c r="AN16" s="325"/>
      <c r="AO16" s="210"/>
      <c r="AP16" s="321" t="str">
        <f t="shared" si="0"/>
        <v>Vehicle Schedule @ MPW</v>
      </c>
      <c r="AQ16" s="108"/>
      <c r="AR16" s="375"/>
      <c r="AS16" s="325"/>
      <c r="AT16" s="210"/>
      <c r="AU16" s="11"/>
      <c r="AV16" s="325"/>
      <c r="AW16" s="210"/>
      <c r="AX16" s="11"/>
      <c r="AY16" s="325"/>
      <c r="AZ16" s="210"/>
      <c r="BA16" s="11"/>
      <c r="BB16" s="325"/>
      <c r="BC16" s="210"/>
      <c r="BD16" s="11"/>
      <c r="BE16" s="325"/>
      <c r="BF16" s="210"/>
      <c r="BG16" s="11"/>
      <c r="BH16" s="325"/>
      <c r="BI16" s="210"/>
      <c r="BJ16" s="11"/>
      <c r="BK16" s="325"/>
      <c r="BL16" s="440"/>
      <c r="BM16" s="11"/>
      <c r="BN16" s="325"/>
      <c r="BO16" s="440"/>
      <c r="BP16" s="11"/>
      <c r="BQ16" s="325"/>
      <c r="BR16" s="440"/>
      <c r="BS16" s="11"/>
      <c r="BT16" s="325"/>
      <c r="BU16" s="440"/>
      <c r="BV16" s="11"/>
      <c r="BW16" s="325"/>
      <c r="BX16" s="440"/>
      <c r="BY16" s="11"/>
      <c r="BZ16" s="325"/>
      <c r="CA16" s="440"/>
      <c r="CB16" s="11"/>
    </row>
    <row r="17" spans="1:394" s="292" customFormat="1" ht="12" customHeight="1" thickBot="1">
      <c r="A17" s="287" t="s">
        <v>67</v>
      </c>
      <c r="B17" s="300" t="s">
        <v>205</v>
      </c>
      <c r="C17" s="294"/>
      <c r="D17" s="561">
        <v>96</v>
      </c>
      <c r="E17" s="561">
        <v>19</v>
      </c>
      <c r="F17" s="473"/>
      <c r="G17" s="473">
        <v>96</v>
      </c>
      <c r="H17" s="473">
        <v>19</v>
      </c>
      <c r="I17" s="473"/>
      <c r="J17" s="561">
        <v>97</v>
      </c>
      <c r="K17" s="561">
        <v>19</v>
      </c>
      <c r="L17" s="473"/>
      <c r="M17" s="561">
        <v>77</v>
      </c>
      <c r="N17" s="561">
        <v>19</v>
      </c>
      <c r="O17" s="473"/>
      <c r="P17" s="561">
        <v>97</v>
      </c>
      <c r="Q17" s="561">
        <v>19</v>
      </c>
      <c r="R17" s="473"/>
      <c r="S17" s="561">
        <v>96</v>
      </c>
      <c r="T17" s="561">
        <v>19</v>
      </c>
      <c r="U17" s="473"/>
      <c r="V17" s="542">
        <v>96</v>
      </c>
      <c r="W17" s="562">
        <v>19</v>
      </c>
      <c r="X17" s="473"/>
      <c r="Y17" s="461">
        <v>96</v>
      </c>
      <c r="Z17" s="467">
        <v>19</v>
      </c>
      <c r="AA17" s="467"/>
      <c r="AB17" s="467">
        <v>97</v>
      </c>
      <c r="AC17" s="467">
        <v>19</v>
      </c>
      <c r="AD17" s="467"/>
      <c r="AE17" s="467">
        <v>96</v>
      </c>
      <c r="AF17" s="467">
        <v>19</v>
      </c>
      <c r="AG17" s="467"/>
      <c r="AH17" s="467">
        <v>96</v>
      </c>
      <c r="AI17" s="467">
        <v>19</v>
      </c>
      <c r="AJ17" s="467"/>
      <c r="AK17" s="467">
        <v>97</v>
      </c>
      <c r="AL17" s="467">
        <v>19</v>
      </c>
      <c r="AM17" s="467"/>
      <c r="AN17" s="467">
        <v>77</v>
      </c>
      <c r="AO17" s="610">
        <v>19</v>
      </c>
      <c r="AP17" s="494" t="str">
        <f t="shared" ref="AP17:AP25" si="1">A17</f>
        <v>Exp / Nav / Superduty - Kentucky</v>
      </c>
      <c r="AQ17" s="300" t="s">
        <v>205</v>
      </c>
      <c r="AR17" s="389"/>
      <c r="AS17" s="467">
        <v>96</v>
      </c>
      <c r="AT17" s="467">
        <v>19</v>
      </c>
      <c r="AU17" s="548"/>
      <c r="AV17" s="461">
        <v>57</v>
      </c>
      <c r="AW17" s="467">
        <v>19</v>
      </c>
      <c r="AX17" s="487"/>
      <c r="AY17" s="467">
        <v>97</v>
      </c>
      <c r="AZ17" s="467">
        <v>19</v>
      </c>
      <c r="BA17" s="487"/>
      <c r="BB17" s="467">
        <v>96</v>
      </c>
      <c r="BC17" s="467">
        <v>19</v>
      </c>
      <c r="BD17" s="467">
        <v>19</v>
      </c>
      <c r="BE17" s="467">
        <v>97</v>
      </c>
      <c r="BF17" s="467">
        <v>19</v>
      </c>
      <c r="BG17" s="530"/>
      <c r="BH17" s="293">
        <v>96</v>
      </c>
      <c r="BI17" s="293">
        <v>10</v>
      </c>
      <c r="BJ17" s="530"/>
      <c r="BK17" s="293" t="s">
        <v>116</v>
      </c>
      <c r="BL17" s="293"/>
      <c r="BM17" s="530"/>
      <c r="BN17" s="293">
        <v>75</v>
      </c>
      <c r="BO17" s="293">
        <v>19</v>
      </c>
      <c r="BP17" s="530"/>
      <c r="BQ17" s="293">
        <v>97</v>
      </c>
      <c r="BR17" s="293">
        <v>19</v>
      </c>
      <c r="BS17" s="530"/>
      <c r="BT17" s="485">
        <v>77</v>
      </c>
      <c r="BU17" s="485">
        <v>19</v>
      </c>
      <c r="BV17" s="530"/>
      <c r="BW17" s="293">
        <v>96</v>
      </c>
      <c r="BX17" s="293">
        <v>19</v>
      </c>
      <c r="BY17" s="530"/>
      <c r="BZ17" s="293">
        <v>97</v>
      </c>
      <c r="CA17" s="293">
        <v>19</v>
      </c>
      <c r="CB17" s="530"/>
      <c r="CC17" s="288"/>
      <c r="CD17" s="288"/>
      <c r="CE17" s="288"/>
      <c r="CF17" s="288"/>
      <c r="CG17" s="288"/>
      <c r="CH17" s="288"/>
      <c r="CI17" s="288"/>
      <c r="CJ17" s="288"/>
      <c r="CK17" s="288"/>
      <c r="CL17" s="288"/>
      <c r="CM17" s="288"/>
      <c r="NY17" s="568"/>
      <c r="NZ17" s="568"/>
      <c r="OA17" s="575"/>
      <c r="OB17" s="575"/>
      <c r="OC17" s="578"/>
      <c r="OD17" s="578"/>
    </row>
    <row r="18" spans="1:394" s="292" customFormat="1" ht="12" customHeight="1">
      <c r="A18" s="314" t="s">
        <v>214</v>
      </c>
      <c r="B18" s="300"/>
      <c r="C18" s="294"/>
      <c r="D18" s="289"/>
      <c r="E18" s="289"/>
      <c r="F18" s="289"/>
      <c r="G18" s="14"/>
      <c r="H18" s="289"/>
      <c r="I18" s="289"/>
      <c r="J18" s="289"/>
      <c r="K18" s="289"/>
      <c r="L18" s="289"/>
      <c r="M18" s="289"/>
      <c r="N18" s="289"/>
      <c r="O18" s="289"/>
      <c r="P18" s="289"/>
      <c r="Q18" s="289"/>
      <c r="R18" s="289"/>
      <c r="S18" s="289"/>
      <c r="T18" s="289"/>
      <c r="U18" s="289"/>
      <c r="V18" s="312" t="s">
        <v>270</v>
      </c>
      <c r="W18" s="289"/>
      <c r="X18" s="289"/>
      <c r="Y18" s="312" t="s">
        <v>328</v>
      </c>
      <c r="Z18" s="289"/>
      <c r="AA18" s="289"/>
      <c r="AB18" s="312"/>
      <c r="AC18" s="289"/>
      <c r="AD18" s="289"/>
      <c r="AE18" s="312"/>
      <c r="AF18" s="289"/>
      <c r="AG18" s="289"/>
      <c r="AH18" s="312"/>
      <c r="AI18" s="289"/>
      <c r="AJ18" s="289"/>
      <c r="AK18" s="312"/>
      <c r="AL18" s="289"/>
      <c r="AM18" s="289"/>
      <c r="AN18" s="312"/>
      <c r="AO18" s="289"/>
      <c r="AP18" s="301" t="str">
        <f t="shared" si="1"/>
        <v xml:space="preserve">          Matl. Prot.              (3C)</v>
      </c>
      <c r="AQ18" s="390"/>
      <c r="AR18" s="389"/>
      <c r="AS18" s="312"/>
      <c r="AT18" s="183" t="s">
        <v>302</v>
      </c>
      <c r="AU18" s="288"/>
      <c r="AV18" s="312" t="s">
        <v>306</v>
      </c>
      <c r="AW18" s="289"/>
      <c r="AX18" s="288"/>
      <c r="AY18" s="312"/>
      <c r="AZ18" s="289"/>
      <c r="BA18" s="288"/>
      <c r="BB18" s="312"/>
      <c r="BC18" s="289"/>
      <c r="BD18" s="288"/>
      <c r="BE18" s="312"/>
      <c r="BF18" s="289"/>
      <c r="BG18" s="288"/>
      <c r="BH18" s="289"/>
      <c r="BI18" s="289"/>
      <c r="BJ18" s="288"/>
      <c r="BK18" s="289"/>
      <c r="BL18" s="289"/>
      <c r="BM18" s="288"/>
      <c r="BN18" s="289"/>
      <c r="BO18" s="289"/>
      <c r="BP18" s="288"/>
      <c r="BQ18" s="289"/>
      <c r="BR18" s="289"/>
      <c r="BS18" s="288"/>
      <c r="BT18" s="298"/>
      <c r="BU18" s="298"/>
      <c r="BV18" s="288"/>
      <c r="BW18" s="289"/>
      <c r="BX18" s="289"/>
      <c r="BY18" s="288"/>
      <c r="BZ18" s="289"/>
      <c r="CA18" s="289"/>
      <c r="CB18" s="288"/>
      <c r="CC18" s="288"/>
      <c r="CD18" s="288"/>
      <c r="CE18" s="288"/>
      <c r="CF18" s="288"/>
      <c r="CG18" s="288"/>
      <c r="CH18" s="288"/>
      <c r="CI18" s="288"/>
      <c r="CJ18" s="288"/>
      <c r="CK18" s="288"/>
      <c r="CL18" s="288"/>
      <c r="CM18" s="288"/>
      <c r="NY18" s="568"/>
      <c r="NZ18" s="568"/>
      <c r="OA18" s="575"/>
      <c r="OB18" s="575"/>
      <c r="OC18" s="578"/>
      <c r="OD18" s="578"/>
    </row>
    <row r="19" spans="1:394" s="291" customFormat="1" ht="12" customHeight="1">
      <c r="A19" s="285" t="s">
        <v>185</v>
      </c>
      <c r="B19" s="385"/>
      <c r="C19" s="323"/>
      <c r="D19" s="440"/>
      <c r="E19" s="289"/>
      <c r="F19" s="210"/>
      <c r="G19" s="475" t="s">
        <v>180</v>
      </c>
      <c r="H19" s="289"/>
      <c r="I19" s="210"/>
      <c r="J19" s="475"/>
      <c r="K19" s="289"/>
      <c r="L19" s="210"/>
      <c r="M19" s="440"/>
      <c r="N19" s="322"/>
      <c r="O19" s="210"/>
      <c r="P19" s="440"/>
      <c r="Q19" s="322"/>
      <c r="R19" s="210"/>
      <c r="S19" s="440" t="s">
        <v>180</v>
      </c>
      <c r="T19" s="289"/>
      <c r="U19" s="210"/>
      <c r="V19" s="440"/>
      <c r="W19" s="289"/>
      <c r="X19" s="210"/>
      <c r="Y19" s="440"/>
      <c r="Z19" s="289"/>
      <c r="AA19" s="210"/>
      <c r="AB19" s="440"/>
      <c r="AC19" s="322"/>
      <c r="AD19" s="210"/>
      <c r="AE19" s="440"/>
      <c r="AF19" s="322"/>
      <c r="AG19" s="210"/>
      <c r="AH19" s="440"/>
      <c r="AI19" s="289"/>
      <c r="AJ19" s="210"/>
      <c r="AK19" s="440"/>
      <c r="AL19" s="322"/>
      <c r="AM19" s="210"/>
      <c r="AN19" s="475"/>
      <c r="AO19" s="289"/>
      <c r="AP19" s="321" t="str">
        <f t="shared" si="1"/>
        <v>Vehicle Schedule @ MPW</v>
      </c>
      <c r="AQ19" s="386"/>
      <c r="AR19" s="387"/>
      <c r="AS19" s="440"/>
      <c r="AT19" s="289"/>
      <c r="AU19" s="357"/>
      <c r="AV19" s="440"/>
      <c r="AW19" s="322"/>
      <c r="AX19" s="357"/>
      <c r="AY19" s="440"/>
      <c r="AZ19" s="289"/>
      <c r="BA19" s="357"/>
      <c r="BB19" s="440"/>
      <c r="BC19" s="322"/>
      <c r="BD19" s="357"/>
      <c r="BE19" s="440"/>
      <c r="BF19" s="289"/>
      <c r="BG19" s="357"/>
      <c r="BH19" s="333" t="s">
        <v>331</v>
      </c>
      <c r="BI19" s="463"/>
      <c r="BJ19" s="357"/>
      <c r="BK19" s="325"/>
      <c r="BL19" s="440"/>
      <c r="BM19" s="357"/>
      <c r="BN19" s="333" t="s">
        <v>331</v>
      </c>
      <c r="BO19" s="463"/>
      <c r="BP19" s="357"/>
      <c r="BQ19" s="333" t="s">
        <v>331</v>
      </c>
      <c r="BR19" s="463"/>
      <c r="BS19" s="357"/>
      <c r="BT19" s="577"/>
      <c r="BU19" s="298"/>
      <c r="BV19" s="357"/>
      <c r="BW19" s="333" t="s">
        <v>331</v>
      </c>
      <c r="BX19" s="463"/>
      <c r="BY19" s="357"/>
      <c r="BZ19" s="333" t="s">
        <v>331</v>
      </c>
      <c r="CA19" s="463"/>
      <c r="CB19" s="357"/>
    </row>
    <row r="20" spans="1:394" s="292" customFormat="1" ht="12" customHeight="1" thickBot="1">
      <c r="A20" s="287" t="s">
        <v>225</v>
      </c>
      <c r="B20" s="382" t="s">
        <v>226</v>
      </c>
      <c r="C20" s="294"/>
      <c r="D20" s="473">
        <v>103</v>
      </c>
      <c r="E20" s="473">
        <v>30</v>
      </c>
      <c r="F20" s="473"/>
      <c r="G20" s="473">
        <v>103</v>
      </c>
      <c r="H20" s="466">
        <v>21</v>
      </c>
      <c r="I20" s="473"/>
      <c r="J20" s="583" t="s">
        <v>334</v>
      </c>
      <c r="K20" s="467">
        <v>21</v>
      </c>
      <c r="L20" s="467"/>
      <c r="M20" s="293">
        <v>82</v>
      </c>
      <c r="N20" s="293">
        <v>21</v>
      </c>
      <c r="O20" s="293"/>
      <c r="P20" s="293">
        <v>103</v>
      </c>
      <c r="Q20" s="293">
        <v>21</v>
      </c>
      <c r="R20" s="293"/>
      <c r="S20" s="293">
        <v>103</v>
      </c>
      <c r="T20" s="293">
        <v>31</v>
      </c>
      <c r="U20" s="293"/>
      <c r="V20" s="293">
        <v>103</v>
      </c>
      <c r="W20" s="293">
        <v>21</v>
      </c>
      <c r="X20" s="293"/>
      <c r="Y20" s="293">
        <v>103</v>
      </c>
      <c r="Z20" s="293">
        <v>31</v>
      </c>
      <c r="AA20" s="293"/>
      <c r="AB20" s="293">
        <v>103</v>
      </c>
      <c r="AC20" s="293">
        <v>21</v>
      </c>
      <c r="AD20" s="293"/>
      <c r="AE20" s="293">
        <v>103</v>
      </c>
      <c r="AF20" s="293">
        <v>31</v>
      </c>
      <c r="AG20" s="293"/>
      <c r="AH20" s="293">
        <v>103</v>
      </c>
      <c r="AI20" s="293">
        <v>21</v>
      </c>
      <c r="AJ20" s="293"/>
      <c r="AK20" s="293">
        <v>103</v>
      </c>
      <c r="AL20" s="293">
        <v>21</v>
      </c>
      <c r="AM20" s="293"/>
      <c r="AN20" s="293">
        <v>92</v>
      </c>
      <c r="AO20" s="293">
        <v>21</v>
      </c>
      <c r="AP20" s="281" t="str">
        <f t="shared" si="1"/>
        <v>Escape / MKC - Louisville</v>
      </c>
      <c r="AQ20" s="300" t="s">
        <v>226</v>
      </c>
      <c r="AR20" s="544"/>
      <c r="AS20" s="293">
        <v>103</v>
      </c>
      <c r="AT20" s="293">
        <v>21</v>
      </c>
      <c r="AU20" s="293"/>
      <c r="AV20" s="293">
        <v>61</v>
      </c>
      <c r="AW20" s="293">
        <v>21</v>
      </c>
      <c r="AX20" s="293"/>
      <c r="AY20" s="293">
        <v>103</v>
      </c>
      <c r="AZ20" s="293">
        <v>21</v>
      </c>
      <c r="BA20" s="484"/>
      <c r="BB20" s="293">
        <v>103</v>
      </c>
      <c r="BC20" s="293">
        <v>21</v>
      </c>
      <c r="BD20" s="484"/>
      <c r="BE20" s="293">
        <v>103</v>
      </c>
      <c r="BF20" s="293">
        <v>21</v>
      </c>
      <c r="BG20" s="484"/>
      <c r="BH20" s="293">
        <v>101</v>
      </c>
      <c r="BI20" s="293">
        <v>10</v>
      </c>
      <c r="BJ20" s="484"/>
      <c r="BK20" s="293" t="s">
        <v>116</v>
      </c>
      <c r="BL20" s="293"/>
      <c r="BM20" s="484"/>
      <c r="BN20" s="293">
        <v>81</v>
      </c>
      <c r="BO20" s="293">
        <v>31</v>
      </c>
      <c r="BP20" s="484"/>
      <c r="BQ20" s="293">
        <v>103</v>
      </c>
      <c r="BR20" s="293">
        <v>31</v>
      </c>
      <c r="BS20" s="484"/>
      <c r="BT20" s="293">
        <v>82</v>
      </c>
      <c r="BU20" s="293">
        <v>21</v>
      </c>
      <c r="BV20" s="484"/>
      <c r="BW20" s="293">
        <v>103</v>
      </c>
      <c r="BX20" s="293">
        <v>31</v>
      </c>
      <c r="BY20" s="484"/>
      <c r="BZ20" s="293">
        <v>103</v>
      </c>
      <c r="CA20" s="293">
        <v>31</v>
      </c>
      <c r="CB20" s="484"/>
      <c r="CC20" s="569"/>
      <c r="CH20" s="111"/>
      <c r="CI20" s="111"/>
      <c r="NY20" s="568"/>
      <c r="NZ20" s="568"/>
      <c r="OA20" s="575"/>
      <c r="OB20" s="575"/>
      <c r="OC20" s="578"/>
      <c r="OD20" s="578"/>
    </row>
    <row r="21" spans="1:394" s="288" customFormat="1" ht="10.5" customHeight="1">
      <c r="A21" s="314" t="s">
        <v>214</v>
      </c>
      <c r="B21" s="300"/>
      <c r="C21" s="391"/>
      <c r="D21" s="14"/>
      <c r="E21" s="14"/>
      <c r="F21" s="289"/>
      <c r="G21" s="312"/>
      <c r="H21" s="289"/>
      <c r="I21" s="289"/>
      <c r="J21" s="312" t="s">
        <v>314</v>
      </c>
      <c r="K21" s="289"/>
      <c r="L21" s="289"/>
      <c r="M21" s="312"/>
      <c r="N21" s="289"/>
      <c r="O21" s="289"/>
      <c r="P21" s="312"/>
      <c r="Q21" s="289"/>
      <c r="R21" s="289"/>
      <c r="S21" s="312"/>
      <c r="T21" s="289"/>
      <c r="U21" s="289"/>
      <c r="V21" s="312"/>
      <c r="W21" s="14"/>
      <c r="X21" s="289"/>
      <c r="Y21" s="14"/>
      <c r="Z21" s="14"/>
      <c r="AA21" s="289"/>
      <c r="AB21" s="312"/>
      <c r="AC21" s="289">
        <v>31</v>
      </c>
      <c r="AD21" s="289"/>
      <c r="AE21" s="289"/>
      <c r="AF21" s="289"/>
      <c r="AG21" s="289"/>
      <c r="AH21" s="289"/>
      <c r="AI21" s="289">
        <v>31</v>
      </c>
      <c r="AJ21" s="289"/>
      <c r="AK21" s="289"/>
      <c r="AL21" s="289">
        <v>31</v>
      </c>
      <c r="AM21" s="289"/>
      <c r="AN21" s="289"/>
      <c r="AO21" s="289"/>
      <c r="AP21" s="308" t="str">
        <f t="shared" si="1"/>
        <v xml:space="preserve">          Matl. Prot.              (3C)</v>
      </c>
      <c r="AQ21" s="392"/>
      <c r="AR21" s="298"/>
      <c r="AS21" s="289"/>
      <c r="AT21" s="289">
        <v>31</v>
      </c>
      <c r="AU21" s="289"/>
      <c r="AV21" s="289"/>
      <c r="AW21" s="289"/>
      <c r="AX21" s="289"/>
      <c r="AY21" s="289"/>
      <c r="AZ21" s="289">
        <v>31</v>
      </c>
      <c r="BB21" s="312"/>
      <c r="BC21" s="289">
        <v>31</v>
      </c>
      <c r="BE21" s="312"/>
      <c r="BF21" s="289">
        <v>31</v>
      </c>
      <c r="BH21" s="312"/>
      <c r="BI21" s="289"/>
      <c r="BK21" s="289"/>
      <c r="BL21" s="289"/>
      <c r="BN21" s="289"/>
      <c r="BO21" s="289"/>
      <c r="BQ21" s="289"/>
      <c r="BR21" s="289"/>
      <c r="BT21" s="289"/>
      <c r="BU21" s="289"/>
      <c r="BW21" s="289"/>
      <c r="BX21" s="289"/>
      <c r="BZ21" s="289"/>
      <c r="CA21" s="289"/>
    </row>
    <row r="22" spans="1:394" s="291" customFormat="1" ht="12" customHeight="1">
      <c r="A22" s="285" t="s">
        <v>185</v>
      </c>
      <c r="B22" s="385"/>
      <c r="C22" s="323"/>
      <c r="D22" s="465" t="s">
        <v>323</v>
      </c>
      <c r="E22" s="545"/>
      <c r="F22" s="298"/>
      <c r="G22" s="465"/>
      <c r="H22" s="545"/>
      <c r="I22" s="298"/>
      <c r="J22" s="465"/>
      <c r="K22" s="545"/>
      <c r="L22" s="170"/>
      <c r="M22" s="348"/>
      <c r="N22" s="347"/>
      <c r="O22" s="170"/>
      <c r="P22" s="348"/>
      <c r="Q22" s="347"/>
      <c r="R22" s="170"/>
      <c r="S22" s="348" t="s">
        <v>323</v>
      </c>
      <c r="T22" s="347"/>
      <c r="U22" s="170"/>
      <c r="V22" s="348"/>
      <c r="W22" s="347"/>
      <c r="X22" s="170"/>
      <c r="Y22" s="348" t="s">
        <v>323</v>
      </c>
      <c r="Z22" s="347"/>
      <c r="AA22" s="170"/>
      <c r="AB22" s="348" t="s">
        <v>259</v>
      </c>
      <c r="AC22" s="347"/>
      <c r="AD22" s="322"/>
      <c r="AE22" s="348" t="s">
        <v>323</v>
      </c>
      <c r="AF22" s="347"/>
      <c r="AG22" s="322"/>
      <c r="AH22" s="465" t="s">
        <v>259</v>
      </c>
      <c r="AI22" s="347"/>
      <c r="AJ22" s="322"/>
      <c r="AK22" s="465" t="s">
        <v>259</v>
      </c>
      <c r="AL22" s="347"/>
      <c r="AM22" s="322"/>
      <c r="AN22" s="348"/>
      <c r="AO22" s="347"/>
      <c r="AP22" s="321" t="str">
        <f t="shared" si="1"/>
        <v>Vehicle Schedule @ MPW</v>
      </c>
      <c r="AQ22" s="386"/>
      <c r="AR22" s="387"/>
      <c r="AS22" s="465" t="s">
        <v>323</v>
      </c>
      <c r="AT22" s="347"/>
      <c r="AU22" s="357"/>
      <c r="AV22" s="348"/>
      <c r="AW22" s="347"/>
      <c r="AX22" s="357"/>
      <c r="AY22" s="348" t="s">
        <v>259</v>
      </c>
      <c r="AZ22" s="347"/>
      <c r="BA22" s="357"/>
      <c r="BB22" s="348" t="s">
        <v>259</v>
      </c>
      <c r="BC22" s="347"/>
      <c r="BD22" s="357"/>
      <c r="BE22" s="348" t="s">
        <v>259</v>
      </c>
      <c r="BF22" s="347"/>
      <c r="BG22" s="357"/>
      <c r="BH22" s="348"/>
      <c r="BI22" s="347"/>
      <c r="BJ22" s="357"/>
      <c r="BK22" s="348"/>
      <c r="BL22" s="360"/>
      <c r="BM22" s="357"/>
      <c r="BN22" s="348"/>
      <c r="BO22" s="360"/>
      <c r="BP22" s="357"/>
      <c r="BQ22" s="348" t="s">
        <v>259</v>
      </c>
      <c r="BR22" s="360"/>
      <c r="BS22" s="357"/>
      <c r="BT22" s="348"/>
      <c r="BU22" s="360"/>
      <c r="BV22" s="357"/>
      <c r="BW22" s="348" t="s">
        <v>259</v>
      </c>
      <c r="BX22" s="360"/>
      <c r="BY22" s="357"/>
      <c r="BZ22" s="348"/>
      <c r="CA22" s="360"/>
      <c r="CB22" s="357"/>
    </row>
    <row r="23" spans="1:394" s="292" customFormat="1" ht="12" customHeight="1" thickBot="1">
      <c r="A23" s="287" t="s">
        <v>218</v>
      </c>
      <c r="B23" s="297" t="s">
        <v>307</v>
      </c>
      <c r="C23" s="162"/>
      <c r="D23" s="466">
        <v>40</v>
      </c>
      <c r="E23" s="466"/>
      <c r="F23" s="466"/>
      <c r="G23" s="466">
        <v>40</v>
      </c>
      <c r="H23" s="466"/>
      <c r="I23" s="466"/>
      <c r="J23" s="466">
        <v>40</v>
      </c>
      <c r="K23" s="466"/>
      <c r="L23" s="466"/>
      <c r="M23" s="466">
        <v>40</v>
      </c>
      <c r="N23" s="466">
        <v>8</v>
      </c>
      <c r="O23" s="466"/>
      <c r="P23" s="466">
        <v>50</v>
      </c>
      <c r="Q23" s="466">
        <v>8</v>
      </c>
      <c r="R23" s="466"/>
      <c r="S23" s="466">
        <v>50</v>
      </c>
      <c r="T23" s="561"/>
      <c r="U23" s="473"/>
      <c r="V23" s="562">
        <v>40</v>
      </c>
      <c r="W23" s="563"/>
      <c r="X23" s="473"/>
      <c r="Y23" s="542">
        <v>40</v>
      </c>
      <c r="Z23" s="562"/>
      <c r="AA23" s="562"/>
      <c r="AB23" s="562">
        <v>40</v>
      </c>
      <c r="AC23" s="562"/>
      <c r="AD23" s="562"/>
      <c r="AE23" s="562">
        <v>40</v>
      </c>
      <c r="AF23" s="562"/>
      <c r="AG23" s="473"/>
      <c r="AH23" s="461">
        <v>40</v>
      </c>
      <c r="AI23" s="467"/>
      <c r="AJ23" s="293"/>
      <c r="AK23" s="293">
        <v>50</v>
      </c>
      <c r="AL23" s="293"/>
      <c r="AM23" s="293"/>
      <c r="AN23" s="293">
        <v>40</v>
      </c>
      <c r="AO23" s="293"/>
      <c r="AP23" s="441" t="str">
        <f t="shared" si="1"/>
        <v>E-Series / Med Duty / Super Duty - Ohio</v>
      </c>
      <c r="AQ23" s="393" t="s">
        <v>307</v>
      </c>
      <c r="AR23" s="291"/>
      <c r="AS23" s="293">
        <v>50</v>
      </c>
      <c r="AT23" s="293"/>
      <c r="AU23" s="484"/>
      <c r="AV23" s="467">
        <v>30</v>
      </c>
      <c r="AW23" s="476"/>
      <c r="AX23" s="609"/>
      <c r="AY23" s="461">
        <v>40</v>
      </c>
      <c r="AZ23" s="467"/>
      <c r="BA23" s="474"/>
      <c r="BB23" s="293">
        <v>40</v>
      </c>
      <c r="BC23" s="293">
        <v>8</v>
      </c>
      <c r="BD23" s="484"/>
      <c r="BE23" s="485">
        <v>40</v>
      </c>
      <c r="BF23" s="485"/>
      <c r="BG23" s="484"/>
      <c r="BH23" s="293">
        <v>40</v>
      </c>
      <c r="BI23" s="293"/>
      <c r="BJ23" s="484"/>
      <c r="BK23" s="293" t="s">
        <v>116</v>
      </c>
      <c r="BL23" s="293"/>
      <c r="BM23" s="484"/>
      <c r="BN23" s="293">
        <v>40</v>
      </c>
      <c r="BO23" s="293">
        <v>8</v>
      </c>
      <c r="BP23" s="484"/>
      <c r="BQ23" s="293">
        <v>50</v>
      </c>
      <c r="BR23" s="293">
        <v>8</v>
      </c>
      <c r="BS23" s="484"/>
      <c r="BT23" s="485">
        <v>40</v>
      </c>
      <c r="BU23" s="485"/>
      <c r="BV23" s="484"/>
      <c r="BW23" s="293">
        <v>50</v>
      </c>
      <c r="BX23" s="293"/>
      <c r="BY23" s="484"/>
      <c r="BZ23" s="293">
        <v>50</v>
      </c>
      <c r="CA23" s="293">
        <v>8</v>
      </c>
      <c r="CB23" s="484"/>
      <c r="NY23" s="568"/>
      <c r="NZ23" s="568"/>
      <c r="OA23" s="575"/>
      <c r="OB23" s="575"/>
      <c r="OC23" s="578"/>
      <c r="OD23" s="578"/>
    </row>
    <row r="24" spans="1:394" s="292" customFormat="1" ht="12" customHeight="1">
      <c r="A24" s="314" t="s">
        <v>217</v>
      </c>
      <c r="B24" s="297"/>
      <c r="C24" s="294"/>
      <c r="D24" s="289"/>
      <c r="E24" s="289"/>
      <c r="F24" s="289"/>
      <c r="G24" s="289"/>
      <c r="H24" s="289"/>
      <c r="I24" s="289"/>
      <c r="J24" s="289"/>
      <c r="K24" s="289"/>
      <c r="L24" s="289"/>
      <c r="M24" s="14"/>
      <c r="N24" s="14"/>
      <c r="O24" s="14"/>
      <c r="P24" s="14"/>
      <c r="Q24" s="14"/>
      <c r="R24" s="14"/>
      <c r="S24" s="14"/>
      <c r="T24" s="289"/>
      <c r="U24" s="289"/>
      <c r="V24" s="312" t="s">
        <v>269</v>
      </c>
      <c r="W24" s="289"/>
      <c r="X24" s="289"/>
      <c r="Y24" s="312" t="s">
        <v>273</v>
      </c>
      <c r="Z24" s="289"/>
      <c r="AA24" s="289"/>
      <c r="AB24" s="312"/>
      <c r="AC24" s="289"/>
      <c r="AD24" s="289"/>
      <c r="AE24" s="312"/>
      <c r="AF24" s="289"/>
      <c r="AG24" s="289"/>
      <c r="AH24" s="289" t="s">
        <v>328</v>
      </c>
      <c r="AI24" s="289"/>
      <c r="AJ24" s="289"/>
      <c r="AK24" s="289"/>
      <c r="AL24" s="289"/>
      <c r="AM24" s="289"/>
      <c r="AN24" s="289"/>
      <c r="AO24" s="289"/>
      <c r="AP24" s="301" t="str">
        <f t="shared" si="1"/>
        <v xml:space="preserve">          Matl. Prot.        1S  (4x10)</v>
      </c>
      <c r="AQ24" s="297"/>
      <c r="AR24" s="291"/>
      <c r="AS24" s="289"/>
      <c r="AT24" s="289"/>
      <c r="AU24" s="588"/>
      <c r="AV24" s="289"/>
      <c r="AW24" s="183" t="s">
        <v>302</v>
      </c>
      <c r="AX24" s="588"/>
      <c r="AY24" s="312" t="s">
        <v>306</v>
      </c>
      <c r="AZ24" s="289"/>
      <c r="BA24" s="588"/>
      <c r="BB24" s="289">
        <v>50</v>
      </c>
      <c r="BC24" s="289"/>
      <c r="BD24" s="588"/>
      <c r="BE24" s="298">
        <v>50</v>
      </c>
      <c r="BF24" s="298">
        <v>8</v>
      </c>
      <c r="BG24" s="588"/>
      <c r="BH24" s="289"/>
      <c r="BI24" s="289"/>
      <c r="BJ24" s="588"/>
      <c r="BK24" s="289"/>
      <c r="BL24" s="289"/>
      <c r="BM24" s="588"/>
      <c r="BN24" s="289"/>
      <c r="BO24" s="289"/>
      <c r="BP24" s="588"/>
      <c r="BQ24" s="289"/>
      <c r="BR24" s="289"/>
      <c r="BS24" s="588"/>
      <c r="BT24" s="298"/>
      <c r="BU24" s="298"/>
      <c r="BV24" s="588"/>
      <c r="BW24" s="289"/>
      <c r="BX24" s="289"/>
      <c r="BY24" s="588"/>
      <c r="BZ24" s="289"/>
      <c r="CA24" s="289"/>
      <c r="CC24" s="291"/>
      <c r="NY24" s="568"/>
      <c r="NZ24" s="568"/>
      <c r="OA24" s="575"/>
      <c r="OB24" s="575"/>
      <c r="OC24" s="578"/>
      <c r="OD24" s="578"/>
    </row>
    <row r="25" spans="1:394" s="291" customFormat="1" ht="12" customHeight="1">
      <c r="A25" s="285" t="s">
        <v>185</v>
      </c>
      <c r="B25" s="471" t="s">
        <v>253</v>
      </c>
      <c r="C25" s="323"/>
      <c r="D25" s="475"/>
      <c r="E25" s="289"/>
      <c r="F25" s="440"/>
      <c r="G25" s="475"/>
      <c r="H25" s="289"/>
      <c r="I25" s="440"/>
      <c r="J25" s="475"/>
      <c r="K25" s="289"/>
      <c r="L25" s="440"/>
      <c r="M25" s="475"/>
      <c r="N25" s="289"/>
      <c r="O25" s="440"/>
      <c r="P25" s="333" t="s">
        <v>204</v>
      </c>
      <c r="Q25" s="463"/>
      <c r="R25" s="440"/>
      <c r="S25" s="333" t="s">
        <v>204</v>
      </c>
      <c r="T25" s="463"/>
      <c r="U25" s="440"/>
      <c r="V25" s="475"/>
      <c r="W25" s="289"/>
      <c r="X25" s="440"/>
      <c r="Y25" s="475"/>
      <c r="Z25" s="289"/>
      <c r="AA25" s="440"/>
      <c r="AB25" s="475"/>
      <c r="AC25" s="289"/>
      <c r="AD25" s="440"/>
      <c r="AE25" s="475"/>
      <c r="AF25" s="289"/>
      <c r="AG25" s="440"/>
      <c r="AH25" s="475"/>
      <c r="AI25" s="289"/>
      <c r="AJ25" s="440"/>
      <c r="AK25" s="333" t="s">
        <v>204</v>
      </c>
      <c r="AL25" s="463"/>
      <c r="AM25" s="440"/>
      <c r="AN25" s="475"/>
      <c r="AO25" s="289"/>
      <c r="AP25" s="321" t="str">
        <f t="shared" si="1"/>
        <v>Vehicle Schedule @ MPW</v>
      </c>
      <c r="AQ25" s="386"/>
      <c r="AR25" s="387"/>
      <c r="AS25" s="333" t="s">
        <v>204</v>
      </c>
      <c r="AT25" s="463"/>
      <c r="AU25" s="357"/>
      <c r="AV25" s="475"/>
      <c r="AW25" s="289"/>
      <c r="AX25" s="357"/>
      <c r="AY25" s="475"/>
      <c r="AZ25" s="289"/>
      <c r="BA25" s="357"/>
      <c r="BB25" s="333" t="s">
        <v>204</v>
      </c>
      <c r="BC25" s="463"/>
      <c r="BD25" s="357"/>
      <c r="BE25" s="333" t="s">
        <v>204</v>
      </c>
      <c r="BF25" s="463"/>
      <c r="BG25" s="357"/>
      <c r="BH25" s="475"/>
      <c r="BI25" s="289"/>
      <c r="BJ25" s="357"/>
      <c r="BK25" s="348"/>
      <c r="BL25" s="360"/>
      <c r="BM25" s="357"/>
      <c r="BN25" s="348"/>
      <c r="BO25" s="360"/>
      <c r="BP25" s="357"/>
      <c r="BQ25" s="333" t="s">
        <v>204</v>
      </c>
      <c r="BR25" s="463"/>
      <c r="BS25" s="357"/>
      <c r="BT25" s="577"/>
      <c r="BU25" s="298"/>
      <c r="BV25" s="357"/>
      <c r="BW25" s="475" t="s">
        <v>204</v>
      </c>
      <c r="BX25" s="289"/>
      <c r="BY25" s="357"/>
      <c r="BZ25" s="333" t="s">
        <v>204</v>
      </c>
      <c r="CA25" s="463"/>
      <c r="CB25" s="357"/>
      <c r="CC25" s="299"/>
    </row>
    <row r="26" spans="1:394" s="20" customFormat="1" ht="12" customHeight="1" thickBot="1">
      <c r="A26" s="287" t="s">
        <v>211</v>
      </c>
      <c r="B26" s="109" t="s">
        <v>168</v>
      </c>
      <c r="C26" s="265"/>
      <c r="D26" s="524">
        <v>39</v>
      </c>
      <c r="E26" s="476"/>
      <c r="F26" s="293"/>
      <c r="G26" s="525">
        <v>40</v>
      </c>
      <c r="H26" s="483"/>
      <c r="I26" s="293"/>
      <c r="J26" s="522">
        <v>40</v>
      </c>
      <c r="K26" s="293"/>
      <c r="L26" s="293"/>
      <c r="M26" s="522">
        <v>29</v>
      </c>
      <c r="N26" s="293"/>
      <c r="O26" s="293"/>
      <c r="P26" s="522">
        <v>40</v>
      </c>
      <c r="Q26" s="293"/>
      <c r="R26" s="293"/>
      <c r="S26" s="522">
        <v>39</v>
      </c>
      <c r="T26" s="293"/>
      <c r="U26" s="293"/>
      <c r="V26" s="524" t="s">
        <v>311</v>
      </c>
      <c r="W26" s="476"/>
      <c r="X26" s="293"/>
      <c r="Y26" s="482">
        <v>79</v>
      </c>
      <c r="Z26" s="483"/>
      <c r="AA26" s="467"/>
      <c r="AB26" s="467">
        <v>80</v>
      </c>
      <c r="AC26" s="467"/>
      <c r="AD26" s="467"/>
      <c r="AE26" s="467">
        <v>79</v>
      </c>
      <c r="AF26" s="467"/>
      <c r="AG26" s="467"/>
      <c r="AH26" s="483">
        <v>79</v>
      </c>
      <c r="AI26" s="483"/>
      <c r="AJ26" s="467"/>
      <c r="AK26" s="483" t="s">
        <v>311</v>
      </c>
      <c r="AL26" s="467"/>
      <c r="AM26" s="467"/>
      <c r="AN26" s="483">
        <v>79</v>
      </c>
      <c r="AO26" s="611"/>
      <c r="AP26" s="441" t="str">
        <f>A26</f>
        <v>Mustang/Conti - Flat Rock</v>
      </c>
      <c r="AQ26" s="455" t="s">
        <v>168</v>
      </c>
      <c r="AR26" s="289"/>
      <c r="AS26" s="293">
        <v>79</v>
      </c>
      <c r="AT26" s="293"/>
      <c r="AU26" s="293"/>
      <c r="AV26" s="485">
        <v>60</v>
      </c>
      <c r="AW26" s="485"/>
      <c r="AX26" s="293"/>
      <c r="AY26" s="293">
        <v>80</v>
      </c>
      <c r="AZ26" s="293"/>
      <c r="BA26" s="613"/>
      <c r="BB26" s="482">
        <v>79</v>
      </c>
      <c r="BC26" s="483"/>
      <c r="BD26" s="483"/>
      <c r="BE26" s="483">
        <v>80</v>
      </c>
      <c r="BF26" s="483"/>
      <c r="BG26" s="483"/>
      <c r="BH26" s="483">
        <v>79</v>
      </c>
      <c r="BI26" s="483"/>
      <c r="BJ26" s="483"/>
      <c r="BK26" s="293" t="s">
        <v>116</v>
      </c>
      <c r="BL26" s="293"/>
      <c r="BM26" s="293"/>
      <c r="BN26" s="293">
        <v>58</v>
      </c>
      <c r="BO26" s="293"/>
      <c r="BP26" s="293"/>
      <c r="BQ26" s="293">
        <v>80</v>
      </c>
      <c r="BR26" s="293"/>
      <c r="BS26" s="293"/>
      <c r="BT26" s="293">
        <v>59</v>
      </c>
      <c r="BU26" s="293"/>
      <c r="BV26" s="293"/>
      <c r="BW26" s="293">
        <v>80</v>
      </c>
      <c r="BX26" s="293"/>
      <c r="BY26" s="293"/>
      <c r="BZ26" s="293" t="s">
        <v>311</v>
      </c>
      <c r="CA26" s="293"/>
      <c r="CB26" s="293"/>
      <c r="CC26" s="292"/>
      <c r="CH26" s="291"/>
      <c r="EG26" s="292"/>
      <c r="EH26" s="292"/>
      <c r="EI26" s="292"/>
      <c r="EJ26" s="292"/>
      <c r="EK26" s="292"/>
      <c r="EL26" s="292"/>
      <c r="EM26" s="292"/>
      <c r="EN26" s="292"/>
      <c r="EO26" s="292"/>
      <c r="EP26" s="292"/>
      <c r="EQ26" s="292"/>
      <c r="ER26" s="292"/>
      <c r="ES26" s="292"/>
      <c r="ET26" s="292"/>
      <c r="EU26" s="292"/>
      <c r="EV26" s="292"/>
      <c r="EW26" s="292"/>
      <c r="EX26" s="292"/>
      <c r="FA26" s="292"/>
      <c r="FB26" s="292"/>
      <c r="FC26" s="292"/>
      <c r="FD26" s="292"/>
      <c r="FE26" s="292"/>
      <c r="FF26" s="292"/>
      <c r="FG26" s="292"/>
      <c r="FH26" s="292"/>
      <c r="FI26" s="292"/>
      <c r="FJ26" s="292"/>
      <c r="FK26" s="292"/>
      <c r="FL26" s="292"/>
      <c r="FM26" s="292"/>
      <c r="FN26" s="292"/>
      <c r="FO26" s="292"/>
      <c r="FP26" s="292"/>
      <c r="FQ26" s="292"/>
      <c r="FR26" s="292"/>
      <c r="FS26" s="292"/>
      <c r="FT26" s="292"/>
      <c r="FU26" s="292"/>
      <c r="FV26" s="292"/>
      <c r="FW26" s="292"/>
      <c r="FX26" s="292"/>
      <c r="FY26" s="292"/>
      <c r="FZ26" s="292"/>
      <c r="GA26" s="292"/>
      <c r="GB26" s="292"/>
      <c r="GC26" s="292"/>
      <c r="GD26" s="292"/>
      <c r="GE26" s="292"/>
      <c r="GF26" s="292"/>
      <c r="GG26" s="292"/>
      <c r="GH26" s="292"/>
      <c r="GI26" s="292"/>
      <c r="GJ26" s="292"/>
      <c r="GK26" s="292"/>
      <c r="GL26" s="292"/>
      <c r="GM26" s="292"/>
      <c r="GN26" s="292"/>
      <c r="GO26" s="292"/>
      <c r="GP26" s="292"/>
      <c r="GQ26" s="292"/>
      <c r="GR26" s="292"/>
      <c r="GS26" s="292"/>
      <c r="GT26" s="292"/>
      <c r="GU26" s="292"/>
      <c r="GV26" s="292"/>
      <c r="GW26" s="292"/>
      <c r="GX26" s="292"/>
      <c r="GY26" s="292"/>
      <c r="GZ26" s="292"/>
      <c r="HA26" s="292"/>
      <c r="HB26" s="292"/>
      <c r="HC26" s="292"/>
      <c r="HD26" s="292"/>
      <c r="HE26" s="292"/>
      <c r="HF26" s="292"/>
      <c r="HG26" s="292"/>
      <c r="HH26" s="292"/>
      <c r="HI26" s="292"/>
      <c r="HJ26" s="292"/>
      <c r="HK26" s="292"/>
      <c r="HL26" s="292"/>
      <c r="HM26" s="292"/>
      <c r="HN26" s="292"/>
      <c r="HO26" s="292"/>
      <c r="HP26" s="292"/>
      <c r="HQ26" s="292"/>
      <c r="HR26" s="292"/>
      <c r="HS26" s="292"/>
      <c r="HT26" s="292"/>
      <c r="HU26" s="292"/>
      <c r="HV26" s="292"/>
      <c r="HW26" s="292"/>
      <c r="HX26" s="292"/>
      <c r="HY26" s="292"/>
      <c r="HZ26" s="292"/>
      <c r="IA26" s="292"/>
      <c r="IB26" s="292"/>
      <c r="IC26" s="292"/>
      <c r="ID26" s="292"/>
      <c r="IE26" s="292"/>
      <c r="IF26" s="292"/>
      <c r="IG26" s="292"/>
      <c r="IH26" s="292"/>
      <c r="II26" s="292"/>
      <c r="IJ26" s="292"/>
      <c r="IK26" s="292"/>
      <c r="IL26" s="292"/>
      <c r="IM26" s="292"/>
      <c r="IN26" s="292"/>
      <c r="IO26" s="292"/>
      <c r="IP26" s="292"/>
      <c r="IQ26" s="292"/>
      <c r="IR26" s="292"/>
      <c r="IS26" s="292"/>
      <c r="IT26" s="292"/>
      <c r="IU26" s="292"/>
      <c r="IV26" s="292"/>
      <c r="IW26" s="292"/>
      <c r="IX26" s="292"/>
      <c r="IY26" s="292"/>
      <c r="IZ26" s="292"/>
      <c r="JA26" s="292"/>
      <c r="JB26" s="292"/>
      <c r="JC26" s="292"/>
      <c r="JD26" s="292"/>
      <c r="JE26" s="292"/>
      <c r="JF26" s="292"/>
      <c r="JG26" s="292"/>
      <c r="JH26" s="292"/>
      <c r="JI26" s="292"/>
      <c r="JJ26" s="292"/>
      <c r="JK26" s="292"/>
      <c r="JL26" s="292"/>
      <c r="JM26" s="292"/>
      <c r="JN26" s="292"/>
      <c r="JO26" s="292"/>
      <c r="JP26" s="292"/>
      <c r="JQ26" s="292"/>
      <c r="JR26" s="292"/>
      <c r="JS26" s="292"/>
      <c r="JT26" s="292"/>
      <c r="JU26" s="292"/>
      <c r="JV26" s="292"/>
      <c r="JW26" s="292"/>
      <c r="JX26" s="292"/>
      <c r="JY26" s="292"/>
      <c r="JZ26" s="292"/>
      <c r="KA26" s="292"/>
      <c r="KB26" s="292"/>
      <c r="KC26" s="292"/>
      <c r="KD26" s="292"/>
      <c r="KE26" s="292"/>
      <c r="KF26" s="292"/>
      <c r="KG26" s="292"/>
      <c r="KH26" s="292"/>
      <c r="KI26" s="292"/>
      <c r="KJ26" s="292"/>
      <c r="KK26" s="292"/>
      <c r="KL26" s="292"/>
      <c r="KM26" s="292"/>
      <c r="KN26" s="292"/>
      <c r="KO26" s="292"/>
      <c r="KP26" s="292"/>
      <c r="KQ26" s="292"/>
      <c r="KR26" s="292"/>
      <c r="KS26" s="292"/>
      <c r="KT26" s="292"/>
      <c r="KU26" s="292"/>
      <c r="KV26" s="292"/>
      <c r="KW26" s="292"/>
      <c r="KX26" s="292"/>
      <c r="KY26" s="292"/>
      <c r="KZ26" s="292"/>
      <c r="LA26" s="292"/>
      <c r="LB26" s="292"/>
      <c r="LC26" s="292"/>
      <c r="LD26" s="292"/>
      <c r="LE26" s="292"/>
      <c r="LF26" s="292"/>
      <c r="LG26" s="292"/>
      <c r="LH26" s="292"/>
      <c r="LI26" s="292"/>
      <c r="LJ26" s="292"/>
      <c r="LK26" s="292"/>
      <c r="LL26" s="292"/>
      <c r="LM26" s="292"/>
      <c r="LN26" s="292"/>
      <c r="LO26" s="292"/>
      <c r="LP26" s="292"/>
      <c r="LQ26" s="292"/>
      <c r="LR26" s="292"/>
      <c r="LS26" s="292"/>
      <c r="LT26" s="292"/>
      <c r="LU26" s="292"/>
      <c r="LV26" s="292"/>
      <c r="LW26" s="292"/>
      <c r="LX26" s="292"/>
      <c r="LY26" s="292"/>
      <c r="LZ26" s="292"/>
      <c r="MA26" s="292"/>
      <c r="MB26" s="292"/>
      <c r="MC26" s="292"/>
      <c r="MD26" s="292"/>
      <c r="ME26" s="292"/>
      <c r="MF26" s="292"/>
      <c r="MG26" s="292"/>
      <c r="MH26" s="292"/>
      <c r="MI26" s="292"/>
      <c r="MJ26" s="292"/>
      <c r="MK26" s="292"/>
      <c r="ML26" s="292"/>
      <c r="MM26" s="292"/>
      <c r="MN26" s="292"/>
      <c r="MO26" s="292"/>
      <c r="MP26" s="292"/>
      <c r="MQ26" s="292"/>
      <c r="MR26" s="292"/>
      <c r="MS26" s="292"/>
      <c r="MT26" s="292"/>
      <c r="MU26" s="292"/>
      <c r="MV26" s="292"/>
      <c r="MW26" s="292"/>
      <c r="MX26" s="292"/>
      <c r="MY26" s="292"/>
      <c r="MZ26" s="292"/>
      <c r="NA26" s="292"/>
      <c r="NB26" s="292"/>
      <c r="NC26" s="292"/>
      <c r="ND26" s="292"/>
      <c r="NE26" s="292"/>
      <c r="NF26" s="292"/>
      <c r="NG26" s="292"/>
      <c r="NH26" s="292"/>
      <c r="NI26" s="292"/>
      <c r="NJ26" s="292"/>
      <c r="NK26" s="292"/>
      <c r="NL26" s="292"/>
      <c r="NM26" s="292"/>
      <c r="NN26" s="292"/>
      <c r="NO26" s="292"/>
      <c r="NP26" s="292"/>
      <c r="NQ26" s="292"/>
      <c r="NR26" s="292"/>
      <c r="NS26" s="292"/>
      <c r="NT26" s="292"/>
      <c r="NU26" s="292"/>
      <c r="NV26" s="292"/>
      <c r="NW26" s="292"/>
      <c r="NX26" s="292"/>
      <c r="NY26" s="568"/>
      <c r="NZ26" s="568"/>
      <c r="OA26" s="575"/>
      <c r="OB26" s="575"/>
      <c r="OC26" s="578"/>
      <c r="OD26" s="578"/>
    </row>
    <row r="27" spans="1:394" s="20" customFormat="1" ht="12" customHeight="1">
      <c r="A27" s="314" t="s">
        <v>150</v>
      </c>
      <c r="B27" s="109"/>
      <c r="C27" s="47" t="s">
        <v>318</v>
      </c>
      <c r="D27" s="488" t="s">
        <v>262</v>
      </c>
      <c r="E27" s="289"/>
      <c r="F27" s="289"/>
      <c r="G27" s="488" t="s">
        <v>261</v>
      </c>
      <c r="H27" s="298"/>
      <c r="I27" s="289"/>
      <c r="J27" s="298"/>
      <c r="K27" s="298"/>
      <c r="L27" s="289"/>
      <c r="M27" s="298"/>
      <c r="N27" s="298"/>
      <c r="O27" s="289"/>
      <c r="P27" s="298"/>
      <c r="Q27" s="298"/>
      <c r="R27" s="289"/>
      <c r="S27" s="298"/>
      <c r="T27" s="298"/>
      <c r="U27" s="289"/>
      <c r="V27" s="488" t="s">
        <v>263</v>
      </c>
      <c r="W27" s="298"/>
      <c r="X27" s="289"/>
      <c r="Y27" s="488" t="s">
        <v>295</v>
      </c>
      <c r="Z27" s="298"/>
      <c r="AA27" s="289"/>
      <c r="AB27" s="289"/>
      <c r="AC27" s="289"/>
      <c r="AD27" s="289"/>
      <c r="AE27" s="289"/>
      <c r="AF27" s="289"/>
      <c r="AG27" s="289"/>
      <c r="AH27" s="298"/>
      <c r="AI27" s="298"/>
      <c r="AJ27" s="289"/>
      <c r="AK27" s="289"/>
      <c r="AL27" s="289"/>
      <c r="AM27" s="289"/>
      <c r="AN27" s="298"/>
      <c r="AO27" s="298"/>
      <c r="AP27" s="301" t="s">
        <v>150</v>
      </c>
      <c r="AQ27" s="297"/>
      <c r="AR27" s="291"/>
      <c r="AS27" s="289"/>
      <c r="AT27" s="289"/>
      <c r="AU27" s="291"/>
      <c r="AV27" s="298"/>
      <c r="AW27" s="298"/>
      <c r="AX27" s="291"/>
      <c r="AY27" s="289"/>
      <c r="AZ27" s="289"/>
      <c r="BA27" s="291"/>
      <c r="BB27" s="488" t="s">
        <v>313</v>
      </c>
      <c r="BC27" s="298"/>
      <c r="BD27" s="298"/>
      <c r="BE27" s="298"/>
      <c r="BF27" s="298"/>
      <c r="BG27" s="298"/>
      <c r="BH27" s="298"/>
      <c r="BI27" s="298"/>
      <c r="BJ27" s="298"/>
      <c r="BK27" s="289"/>
      <c r="BL27" s="289"/>
      <c r="BM27" s="289"/>
      <c r="BN27" s="289"/>
      <c r="BO27" s="289"/>
      <c r="BP27" s="289"/>
      <c r="BQ27" s="289"/>
      <c r="BR27" s="289"/>
      <c r="BS27" s="289"/>
      <c r="BT27" s="289"/>
      <c r="BU27" s="289"/>
      <c r="BV27" s="289"/>
      <c r="BW27" s="289"/>
      <c r="BX27" s="289"/>
      <c r="BY27" s="289"/>
      <c r="BZ27" s="289"/>
      <c r="CA27" s="289"/>
      <c r="CB27" s="289"/>
      <c r="CC27" s="292"/>
      <c r="CH27" s="291"/>
      <c r="EG27" s="292"/>
      <c r="EH27" s="292"/>
      <c r="EI27" s="292"/>
      <c r="EJ27" s="292"/>
      <c r="EK27" s="292"/>
      <c r="EL27" s="292"/>
      <c r="EM27" s="292"/>
      <c r="EN27" s="292"/>
      <c r="EO27" s="292"/>
      <c r="EP27" s="292"/>
      <c r="EQ27" s="292"/>
      <c r="ER27" s="292"/>
      <c r="ES27" s="292"/>
      <c r="ET27" s="292"/>
      <c r="EU27" s="292"/>
      <c r="EV27" s="292"/>
      <c r="EW27" s="292"/>
      <c r="EX27" s="292"/>
      <c r="FA27" s="292"/>
      <c r="FB27" s="292"/>
      <c r="FC27" s="292"/>
      <c r="FD27" s="292"/>
      <c r="FE27" s="292"/>
      <c r="FF27" s="292"/>
      <c r="FG27" s="292"/>
      <c r="FH27" s="292"/>
      <c r="FI27" s="292"/>
      <c r="FJ27" s="292"/>
      <c r="FK27" s="292"/>
      <c r="FL27" s="292"/>
      <c r="FM27" s="292"/>
      <c r="FN27" s="292"/>
      <c r="FO27" s="292"/>
      <c r="FP27" s="292"/>
      <c r="FQ27" s="292"/>
      <c r="FR27" s="292"/>
      <c r="FS27" s="292"/>
      <c r="FT27" s="292"/>
      <c r="FU27" s="292"/>
      <c r="FV27" s="292"/>
      <c r="FW27" s="292"/>
      <c r="FX27" s="292"/>
      <c r="FY27" s="292"/>
      <c r="FZ27" s="292"/>
      <c r="GA27" s="292"/>
      <c r="GB27" s="292"/>
      <c r="GC27" s="292"/>
      <c r="GD27" s="292"/>
      <c r="GE27" s="292"/>
      <c r="GF27" s="292"/>
      <c r="GG27" s="292"/>
      <c r="GH27" s="292"/>
      <c r="GI27" s="292"/>
      <c r="GJ27" s="292"/>
      <c r="GK27" s="292"/>
      <c r="GL27" s="292"/>
      <c r="GM27" s="292"/>
      <c r="GN27" s="292"/>
      <c r="GO27" s="292"/>
      <c r="GP27" s="292"/>
      <c r="GQ27" s="292"/>
      <c r="GR27" s="292"/>
      <c r="GS27" s="292"/>
      <c r="GT27" s="292"/>
      <c r="GU27" s="292"/>
      <c r="GV27" s="292"/>
      <c r="GW27" s="292"/>
      <c r="GX27" s="292"/>
      <c r="GY27" s="292"/>
      <c r="GZ27" s="292"/>
      <c r="HA27" s="292"/>
      <c r="HB27" s="292"/>
      <c r="HC27" s="292"/>
      <c r="HD27" s="292"/>
      <c r="HE27" s="292"/>
      <c r="HF27" s="292"/>
      <c r="HG27" s="292"/>
      <c r="HH27" s="292"/>
      <c r="HI27" s="292"/>
      <c r="HJ27" s="292"/>
      <c r="HK27" s="292"/>
      <c r="HL27" s="292"/>
      <c r="HM27" s="292"/>
      <c r="HN27" s="292"/>
      <c r="HO27" s="292"/>
      <c r="HP27" s="292"/>
      <c r="HQ27" s="292"/>
      <c r="HR27" s="292"/>
      <c r="HS27" s="292"/>
      <c r="HT27" s="292"/>
      <c r="HU27" s="292"/>
      <c r="HV27" s="292"/>
      <c r="HW27" s="292"/>
      <c r="HX27" s="292"/>
      <c r="HY27" s="292"/>
      <c r="HZ27" s="292"/>
      <c r="IA27" s="292"/>
      <c r="IB27" s="292"/>
      <c r="IC27" s="292"/>
      <c r="ID27" s="292"/>
      <c r="IE27" s="292"/>
      <c r="IF27" s="292"/>
      <c r="IG27" s="292"/>
      <c r="IH27" s="292"/>
      <c r="II27" s="292"/>
      <c r="IJ27" s="292"/>
      <c r="IK27" s="292"/>
      <c r="IL27" s="292"/>
      <c r="IM27" s="292"/>
      <c r="IN27" s="292"/>
      <c r="IO27" s="292"/>
      <c r="IP27" s="292"/>
      <c r="IQ27" s="292"/>
      <c r="IR27" s="292"/>
      <c r="IS27" s="292"/>
      <c r="IT27" s="292"/>
      <c r="IU27" s="292"/>
      <c r="IV27" s="292"/>
      <c r="IW27" s="292"/>
      <c r="IX27" s="292"/>
      <c r="IY27" s="292"/>
      <c r="IZ27" s="292"/>
      <c r="JA27" s="292"/>
      <c r="JB27" s="292"/>
      <c r="JC27" s="292"/>
      <c r="JD27" s="292"/>
      <c r="JE27" s="292"/>
      <c r="JF27" s="292"/>
      <c r="JG27" s="292"/>
      <c r="JH27" s="292"/>
      <c r="JI27" s="292"/>
      <c r="JJ27" s="292"/>
      <c r="JK27" s="292"/>
      <c r="JL27" s="292"/>
      <c r="JM27" s="292"/>
      <c r="JN27" s="292"/>
      <c r="JO27" s="292"/>
      <c r="JP27" s="292"/>
      <c r="JQ27" s="292"/>
      <c r="JR27" s="292"/>
      <c r="JS27" s="292"/>
      <c r="JT27" s="292"/>
      <c r="JU27" s="292"/>
      <c r="JV27" s="292"/>
      <c r="JW27" s="292"/>
      <c r="JX27" s="292"/>
      <c r="JY27" s="292"/>
      <c r="JZ27" s="292"/>
      <c r="KA27" s="292"/>
      <c r="KB27" s="292"/>
      <c r="KC27" s="292"/>
      <c r="KD27" s="292"/>
      <c r="KE27" s="292"/>
      <c r="KF27" s="292"/>
      <c r="KG27" s="292"/>
      <c r="KH27" s="292"/>
      <c r="KI27" s="292"/>
      <c r="KJ27" s="292"/>
      <c r="KK27" s="292"/>
      <c r="KL27" s="292"/>
      <c r="KM27" s="292"/>
      <c r="KN27" s="292"/>
      <c r="KO27" s="292"/>
      <c r="KP27" s="292"/>
      <c r="KQ27" s="292"/>
      <c r="KR27" s="292"/>
      <c r="KS27" s="292"/>
      <c r="KT27" s="292"/>
      <c r="KU27" s="292"/>
      <c r="KV27" s="292"/>
      <c r="KW27" s="292"/>
      <c r="KX27" s="292"/>
      <c r="KY27" s="292"/>
      <c r="KZ27" s="292"/>
      <c r="LA27" s="292"/>
      <c r="LB27" s="292"/>
      <c r="LC27" s="292"/>
      <c r="LD27" s="292"/>
      <c r="LE27" s="292"/>
      <c r="LF27" s="292"/>
      <c r="LG27" s="292"/>
      <c r="LH27" s="292"/>
      <c r="LI27" s="292"/>
      <c r="LJ27" s="292"/>
      <c r="LK27" s="292"/>
      <c r="LL27" s="292"/>
      <c r="LM27" s="292"/>
      <c r="LN27" s="292"/>
      <c r="LO27" s="292"/>
      <c r="LP27" s="292"/>
      <c r="LQ27" s="292"/>
      <c r="LR27" s="292"/>
      <c r="LS27" s="292"/>
      <c r="LT27" s="292"/>
      <c r="LU27" s="292"/>
      <c r="LV27" s="292"/>
      <c r="LW27" s="292"/>
      <c r="LX27" s="292"/>
      <c r="LY27" s="292"/>
      <c r="LZ27" s="292"/>
      <c r="MA27" s="292"/>
      <c r="MB27" s="292"/>
      <c r="MC27" s="292"/>
      <c r="MD27" s="292"/>
      <c r="ME27" s="292"/>
      <c r="MF27" s="292"/>
      <c r="MG27" s="292"/>
      <c r="MH27" s="292"/>
      <c r="MI27" s="292"/>
      <c r="MJ27" s="292"/>
      <c r="MK27" s="292"/>
      <c r="ML27" s="292"/>
      <c r="MM27" s="292"/>
      <c r="MN27" s="292"/>
      <c r="MO27" s="292"/>
      <c r="MP27" s="292"/>
      <c r="MQ27" s="292"/>
      <c r="MR27" s="292"/>
      <c r="MS27" s="292"/>
      <c r="MT27" s="292"/>
      <c r="MU27" s="292"/>
      <c r="MV27" s="292"/>
      <c r="MW27" s="292"/>
      <c r="MX27" s="292"/>
      <c r="MY27" s="292"/>
      <c r="MZ27" s="292"/>
      <c r="NA27" s="292"/>
      <c r="NB27" s="292"/>
      <c r="NC27" s="292"/>
      <c r="ND27" s="292"/>
      <c r="NE27" s="292"/>
      <c r="NF27" s="292"/>
      <c r="NG27" s="292"/>
      <c r="NH27" s="292"/>
      <c r="NI27" s="292"/>
      <c r="NJ27" s="292"/>
      <c r="NK27" s="292"/>
      <c r="NL27" s="292"/>
      <c r="NM27" s="292"/>
      <c r="NN27" s="292"/>
      <c r="NO27" s="292"/>
      <c r="NP27" s="292"/>
      <c r="NQ27" s="292"/>
      <c r="NR27" s="292"/>
      <c r="NS27" s="292"/>
      <c r="NT27" s="292"/>
      <c r="NU27" s="292"/>
      <c r="NV27" s="292"/>
      <c r="NW27" s="292"/>
      <c r="NX27" s="292"/>
      <c r="NY27" s="568"/>
      <c r="NZ27" s="568"/>
      <c r="OA27" s="575"/>
      <c r="OB27" s="575"/>
      <c r="OC27" s="578"/>
      <c r="OD27" s="578"/>
    </row>
    <row r="28" spans="1:394" s="291" customFormat="1" ht="12" customHeight="1">
      <c r="A28" s="285" t="s">
        <v>185</v>
      </c>
      <c r="B28" s="155"/>
      <c r="C28" s="46"/>
      <c r="D28" s="325"/>
      <c r="E28" s="210"/>
      <c r="F28" s="170"/>
      <c r="G28" s="496"/>
      <c r="H28" s="171"/>
      <c r="I28" s="170"/>
      <c r="J28" s="468"/>
      <c r="K28" s="171"/>
      <c r="L28" s="170"/>
      <c r="M28" s="496"/>
      <c r="N28" s="171"/>
      <c r="O28" s="170"/>
      <c r="P28" s="496"/>
      <c r="Q28" s="171"/>
      <c r="R28" s="170"/>
      <c r="S28" s="325"/>
      <c r="T28" s="210"/>
      <c r="U28" s="170"/>
      <c r="V28" s="496"/>
      <c r="W28" s="171"/>
      <c r="X28" s="170"/>
      <c r="Y28" s="460"/>
      <c r="Z28" s="210"/>
      <c r="AA28" s="170"/>
      <c r="AB28" s="325"/>
      <c r="AC28" s="210"/>
      <c r="AD28" s="170"/>
      <c r="AE28" s="325"/>
      <c r="AF28" s="210"/>
      <c r="AG28" s="170"/>
      <c r="AH28" s="468"/>
      <c r="AI28" s="171"/>
      <c r="AJ28" s="170"/>
      <c r="AK28" s="460"/>
      <c r="AL28" s="210"/>
      <c r="AM28" s="170"/>
      <c r="AN28" s="496"/>
      <c r="AO28" s="171"/>
      <c r="AP28" s="321" t="str">
        <f t="shared" ref="AP28" si="2">A28</f>
        <v>Vehicle Schedule @ MPW</v>
      </c>
      <c r="AQ28" s="386"/>
      <c r="AR28" s="387"/>
      <c r="AS28" s="460"/>
      <c r="AT28" s="210"/>
      <c r="AU28" s="357"/>
      <c r="AV28" s="468"/>
      <c r="AW28" s="171"/>
      <c r="AX28" s="357"/>
      <c r="AY28" s="325"/>
      <c r="AZ28" s="210"/>
      <c r="BA28" s="357"/>
      <c r="BB28" s="468"/>
      <c r="BC28" s="171"/>
      <c r="BD28" s="357"/>
      <c r="BE28" s="325"/>
      <c r="BF28" s="210"/>
      <c r="BG28" s="357"/>
      <c r="BH28" s="325"/>
      <c r="BI28" s="210"/>
      <c r="BJ28" s="357"/>
      <c r="BK28" s="325"/>
      <c r="BL28" s="440"/>
      <c r="BM28" s="357"/>
      <c r="BN28" s="325"/>
      <c r="BO28" s="440"/>
      <c r="BP28" s="357"/>
      <c r="BQ28" s="325"/>
      <c r="BR28" s="440"/>
      <c r="BS28" s="357"/>
      <c r="BT28" s="325"/>
      <c r="BU28" s="440"/>
      <c r="BV28" s="357"/>
      <c r="BW28" s="325"/>
      <c r="BX28" s="440"/>
      <c r="BY28" s="357"/>
      <c r="BZ28" s="325"/>
      <c r="CA28" s="440"/>
      <c r="CB28" s="357"/>
    </row>
    <row r="29" spans="1:394" s="291" customFormat="1" ht="12" customHeight="1" thickBot="1">
      <c r="A29" s="287" t="s">
        <v>208</v>
      </c>
      <c r="B29" s="297" t="s">
        <v>86</v>
      </c>
      <c r="C29" s="288"/>
      <c r="D29" s="289">
        <v>80</v>
      </c>
      <c r="E29" s="289"/>
      <c r="F29" s="289"/>
      <c r="G29" s="293" t="s">
        <v>4</v>
      </c>
      <c r="H29" s="293"/>
      <c r="I29" s="289"/>
      <c r="J29" s="293">
        <v>80</v>
      </c>
      <c r="K29" s="293"/>
      <c r="L29" s="289"/>
      <c r="M29" s="293">
        <v>60</v>
      </c>
      <c r="N29" s="293"/>
      <c r="O29" s="289"/>
      <c r="P29" s="293" t="s">
        <v>4</v>
      </c>
      <c r="Q29" s="293"/>
      <c r="R29" s="289"/>
      <c r="S29" s="293">
        <v>80</v>
      </c>
      <c r="T29" s="293"/>
      <c r="U29" s="289"/>
      <c r="V29" s="293">
        <v>80</v>
      </c>
      <c r="W29" s="293"/>
      <c r="X29" s="289"/>
      <c r="Y29" s="616">
        <v>80</v>
      </c>
      <c r="Z29" s="476"/>
      <c r="AA29" s="289"/>
      <c r="AB29" s="461">
        <v>80</v>
      </c>
      <c r="AC29" s="467"/>
      <c r="AD29" s="289"/>
      <c r="AE29" s="293">
        <v>80</v>
      </c>
      <c r="AF29" s="293"/>
      <c r="AG29" s="289"/>
      <c r="AH29" s="293">
        <v>80</v>
      </c>
      <c r="AI29" s="293"/>
      <c r="AJ29" s="289"/>
      <c r="AK29" s="293" t="s">
        <v>4</v>
      </c>
      <c r="AL29" s="293"/>
      <c r="AM29" s="289"/>
      <c r="AN29" s="174">
        <v>80</v>
      </c>
      <c r="AO29" s="293"/>
      <c r="AP29" s="441" t="str">
        <f>A29</f>
        <v>Focus / C-Max - Michigan       (4x10)</v>
      </c>
      <c r="AQ29" s="297" t="s">
        <v>86</v>
      </c>
      <c r="AR29" s="378"/>
      <c r="AS29" s="174">
        <v>80</v>
      </c>
      <c r="AT29" s="293"/>
      <c r="AU29" s="484"/>
      <c r="AV29" s="293">
        <v>60</v>
      </c>
      <c r="AW29" s="293"/>
      <c r="AX29" s="484"/>
      <c r="AY29" s="293">
        <v>100</v>
      </c>
      <c r="AZ29" s="293"/>
      <c r="BA29" s="484"/>
      <c r="BB29" s="174">
        <v>80</v>
      </c>
      <c r="BC29" s="293"/>
      <c r="BD29" s="484"/>
      <c r="BE29" s="293">
        <v>80</v>
      </c>
      <c r="BF29" s="293"/>
      <c r="BG29" s="484"/>
      <c r="BH29" s="293" t="s">
        <v>4</v>
      </c>
      <c r="BI29" s="293"/>
      <c r="BJ29" s="484"/>
      <c r="BK29" s="293" t="s">
        <v>116</v>
      </c>
      <c r="BL29" s="293"/>
      <c r="BM29" s="484"/>
      <c r="BN29" s="293" t="s">
        <v>325</v>
      </c>
      <c r="BO29" s="293"/>
      <c r="BP29" s="484"/>
      <c r="BQ29" s="293" t="s">
        <v>325</v>
      </c>
      <c r="BR29" s="293"/>
      <c r="BS29" s="484"/>
      <c r="BT29" s="293">
        <v>78</v>
      </c>
      <c r="BU29" s="293">
        <v>16</v>
      </c>
      <c r="BV29" s="484"/>
      <c r="BW29" s="293">
        <v>100</v>
      </c>
      <c r="BX29" s="293">
        <v>16</v>
      </c>
      <c r="BY29" s="484"/>
      <c r="BZ29" s="293">
        <v>100</v>
      </c>
      <c r="CA29" s="293"/>
      <c r="CB29" s="484"/>
    </row>
    <row r="30" spans="1:394" s="291" customFormat="1" ht="12" customHeight="1">
      <c r="A30" s="314" t="s">
        <v>193</v>
      </c>
      <c r="B30" s="297"/>
      <c r="C30" s="335"/>
      <c r="D30" s="289"/>
      <c r="E30" s="289"/>
      <c r="F30" s="298"/>
      <c r="G30" s="312"/>
      <c r="H30" s="289"/>
      <c r="I30" s="298"/>
      <c r="J30" s="312"/>
      <c r="K30" s="289"/>
      <c r="L30" s="298"/>
      <c r="M30" s="312"/>
      <c r="N30" s="289"/>
      <c r="O30" s="298"/>
      <c r="P30" s="312"/>
      <c r="Q30" s="289"/>
      <c r="R30" s="298"/>
      <c r="S30" s="312"/>
      <c r="T30" s="289"/>
      <c r="U30" s="298"/>
      <c r="V30" s="312"/>
      <c r="W30" s="289"/>
      <c r="X30" s="298"/>
      <c r="Y30" s="312" t="s">
        <v>272</v>
      </c>
      <c r="Z30" s="289"/>
      <c r="AA30" s="298"/>
      <c r="AB30" s="312" t="s">
        <v>276</v>
      </c>
      <c r="AC30" s="289"/>
      <c r="AD30" s="298"/>
      <c r="AE30" s="312"/>
      <c r="AF30" s="289"/>
      <c r="AG30" s="298"/>
      <c r="AH30" s="312"/>
      <c r="AI30" s="312"/>
      <c r="AJ30" s="298"/>
      <c r="AK30" s="312"/>
      <c r="AL30" s="289"/>
      <c r="AM30" s="298"/>
      <c r="AN30" s="289"/>
      <c r="AO30" s="289"/>
      <c r="AP30" s="308" t="str">
        <f>A30</f>
        <v xml:space="preserve">        Matl. Prot.                   (2S)</v>
      </c>
      <c r="AQ30" s="383"/>
      <c r="AR30" s="384"/>
      <c r="AS30" s="289"/>
      <c r="AT30" s="289"/>
      <c r="AV30" s="289"/>
      <c r="AW30" s="289"/>
      <c r="AY30" s="289"/>
      <c r="AZ30" s="289"/>
      <c r="BB30" s="289"/>
      <c r="BC30" s="289"/>
      <c r="BE30" s="289"/>
      <c r="BF30" s="289"/>
      <c r="BH30" s="289"/>
      <c r="BI30" s="289"/>
      <c r="BK30" s="289"/>
      <c r="BL30" s="289"/>
      <c r="BN30" s="289"/>
      <c r="BO30" s="289"/>
      <c r="BQ30" s="289"/>
      <c r="BR30" s="289"/>
      <c r="BT30" s="289"/>
      <c r="BU30" s="289"/>
      <c r="BW30" s="289"/>
      <c r="BX30" s="289"/>
      <c r="BZ30" s="289"/>
      <c r="CA30" s="289"/>
    </row>
    <row r="31" spans="1:394" s="291" customFormat="1" ht="12" customHeight="1">
      <c r="A31" s="285" t="s">
        <v>185</v>
      </c>
      <c r="B31" s="385"/>
      <c r="C31" s="323"/>
      <c r="D31" s="479"/>
      <c r="E31" s="478"/>
      <c r="F31" s="309"/>
      <c r="G31" s="479"/>
      <c r="H31" s="480"/>
      <c r="I31" s="309"/>
      <c r="J31" s="479"/>
      <c r="K31" s="478"/>
      <c r="L31" s="309"/>
      <c r="M31" s="479"/>
      <c r="N31" s="478"/>
      <c r="O31" s="309"/>
      <c r="P31" s="479"/>
      <c r="Q31" s="478"/>
      <c r="R31" s="309"/>
      <c r="S31" s="479"/>
      <c r="T31" s="478"/>
      <c r="U31" s="309"/>
      <c r="V31" s="479"/>
      <c r="W31" s="478"/>
      <c r="X31" s="309"/>
      <c r="Y31" s="479" t="s">
        <v>126</v>
      </c>
      <c r="Z31" s="478"/>
      <c r="AA31" s="309"/>
      <c r="AB31" s="479"/>
      <c r="AC31" s="478"/>
      <c r="AD31" s="309"/>
      <c r="AE31" s="479"/>
      <c r="AF31" s="478"/>
      <c r="AG31" s="309"/>
      <c r="AH31" s="479"/>
      <c r="AI31" s="478"/>
      <c r="AJ31" s="309"/>
      <c r="AK31" s="479"/>
      <c r="AL31" s="478"/>
      <c r="AM31" s="309"/>
      <c r="AN31" s="479"/>
      <c r="AO31" s="478"/>
      <c r="AP31" s="321" t="str">
        <f>A31</f>
        <v>Vehicle Schedule @ MPW</v>
      </c>
      <c r="AQ31" s="386"/>
      <c r="AR31" s="387"/>
      <c r="AS31" s="479"/>
      <c r="AT31" s="478"/>
      <c r="AU31" s="357"/>
      <c r="AV31" s="479"/>
      <c r="AW31" s="478"/>
      <c r="AX31" s="357"/>
      <c r="AY31" s="479"/>
      <c r="AZ31" s="478"/>
      <c r="BA31" s="357"/>
      <c r="BB31" s="479"/>
      <c r="BC31" s="478"/>
      <c r="BD31" s="357"/>
      <c r="BE31" s="479"/>
      <c r="BF31" s="478"/>
      <c r="BG31" s="357"/>
      <c r="BH31" s="479"/>
      <c r="BI31" s="478"/>
      <c r="BJ31" s="357"/>
      <c r="BK31" s="348"/>
      <c r="BL31" s="360"/>
      <c r="BM31" s="357"/>
      <c r="BN31" s="479"/>
      <c r="BO31" s="478"/>
      <c r="BP31" s="357"/>
      <c r="BQ31" s="479"/>
      <c r="BR31" s="478"/>
      <c r="BS31" s="357"/>
      <c r="BT31" s="479"/>
      <c r="BU31" s="478"/>
      <c r="BV31" s="357"/>
      <c r="BW31" s="479"/>
      <c r="BX31" s="478"/>
      <c r="BY31" s="357"/>
      <c r="BZ31" s="479"/>
      <c r="CA31" s="478"/>
      <c r="CB31" s="357"/>
    </row>
    <row r="32" spans="1:394" s="20" customFormat="1" ht="12" customHeight="1">
      <c r="A32" s="287" t="s">
        <v>75</v>
      </c>
      <c r="B32" s="167" t="s">
        <v>151</v>
      </c>
      <c r="C32" s="47"/>
      <c r="D32" s="473">
        <v>81</v>
      </c>
      <c r="E32" s="473"/>
      <c r="F32" s="473"/>
      <c r="G32" s="617">
        <v>80</v>
      </c>
      <c r="H32" s="473"/>
      <c r="I32" s="473"/>
      <c r="J32" s="617">
        <v>64</v>
      </c>
      <c r="K32" s="473"/>
      <c r="L32" s="473"/>
      <c r="M32" s="617">
        <v>64</v>
      </c>
      <c r="N32" s="473"/>
      <c r="O32" s="473"/>
      <c r="P32" s="617">
        <v>80</v>
      </c>
      <c r="Q32" s="473"/>
      <c r="R32" s="473"/>
      <c r="S32" s="617">
        <v>80</v>
      </c>
      <c r="T32" s="473"/>
      <c r="U32" s="473"/>
      <c r="V32" s="618" t="s">
        <v>350</v>
      </c>
      <c r="W32" s="293"/>
      <c r="X32" s="293"/>
      <c r="Y32" s="174">
        <v>80</v>
      </c>
      <c r="Z32" s="293"/>
      <c r="AA32" s="293"/>
      <c r="AB32" s="174">
        <v>64</v>
      </c>
      <c r="AC32" s="293"/>
      <c r="AD32" s="293"/>
      <c r="AE32" s="174">
        <v>80</v>
      </c>
      <c r="AF32" s="293"/>
      <c r="AG32" s="293"/>
      <c r="AH32" s="174">
        <v>80</v>
      </c>
      <c r="AI32" s="485"/>
      <c r="AJ32" s="293"/>
      <c r="AK32" s="174">
        <v>80</v>
      </c>
      <c r="AL32" s="485"/>
      <c r="AM32" s="293"/>
      <c r="AN32" s="174">
        <v>80</v>
      </c>
      <c r="AO32" s="293"/>
      <c r="AP32" s="388" t="str">
        <f>A32</f>
        <v>Edge / MKX / Flex /MKT- Oakville</v>
      </c>
      <c r="AQ32" s="300" t="s">
        <v>151</v>
      </c>
      <c r="AR32" s="378"/>
      <c r="AS32" s="174">
        <v>80</v>
      </c>
      <c r="AT32" s="293"/>
      <c r="AU32" s="293"/>
      <c r="AV32" s="174">
        <v>80</v>
      </c>
      <c r="AW32" s="293"/>
      <c r="AX32" s="293"/>
      <c r="AY32" s="174">
        <v>80</v>
      </c>
      <c r="AZ32" s="293"/>
      <c r="BA32" s="293"/>
      <c r="BB32" s="174">
        <v>80</v>
      </c>
      <c r="BC32" s="293"/>
      <c r="BD32" s="293"/>
      <c r="BE32" s="174">
        <v>80</v>
      </c>
      <c r="BF32" s="293"/>
      <c r="BG32" s="291"/>
      <c r="BH32" s="174">
        <v>80</v>
      </c>
      <c r="BI32" s="293"/>
      <c r="BJ32" s="291"/>
      <c r="BK32" s="293" t="s">
        <v>116</v>
      </c>
      <c r="BL32" s="293"/>
      <c r="BM32" s="291"/>
      <c r="BN32" s="293">
        <v>64</v>
      </c>
      <c r="BO32" s="293"/>
      <c r="BP32" s="291"/>
      <c r="BQ32" s="293">
        <v>81</v>
      </c>
      <c r="BR32" s="293"/>
      <c r="BS32" s="291"/>
      <c r="BT32" s="293">
        <v>81</v>
      </c>
      <c r="BU32" s="293"/>
      <c r="BV32" s="291"/>
      <c r="BW32" s="293">
        <v>81</v>
      </c>
      <c r="BX32" s="293"/>
      <c r="BY32" s="291"/>
      <c r="BZ32" s="293">
        <v>81</v>
      </c>
      <c r="CA32" s="293"/>
      <c r="CB32" s="291"/>
      <c r="CC32" s="292"/>
      <c r="EG32" s="292"/>
      <c r="EH32" s="292"/>
      <c r="EI32" s="292"/>
      <c r="EJ32" s="292"/>
      <c r="EK32" s="292"/>
      <c r="EL32" s="292"/>
      <c r="EM32" s="292"/>
      <c r="EN32" s="292"/>
      <c r="EO32" s="292"/>
      <c r="EP32" s="292"/>
      <c r="EQ32" s="292"/>
      <c r="ER32" s="292"/>
      <c r="ES32" s="292"/>
      <c r="ET32" s="292"/>
      <c r="EU32" s="292"/>
      <c r="EV32" s="292"/>
      <c r="EW32" s="292"/>
      <c r="EX32" s="292"/>
      <c r="FA32" s="292"/>
      <c r="FB32" s="292"/>
      <c r="FC32" s="292"/>
      <c r="FD32" s="292"/>
      <c r="FE32" s="292"/>
      <c r="FF32" s="292"/>
      <c r="FG32" s="292"/>
      <c r="FH32" s="292"/>
      <c r="FI32" s="292"/>
      <c r="FJ32" s="292"/>
      <c r="FK32" s="292"/>
      <c r="FL32" s="292"/>
      <c r="FM32" s="292"/>
      <c r="FN32" s="292"/>
      <c r="FO32" s="292"/>
      <c r="FP32" s="292"/>
      <c r="FQ32" s="292"/>
      <c r="FR32" s="292"/>
      <c r="FS32" s="292"/>
      <c r="FT32" s="292"/>
      <c r="FU32" s="292"/>
      <c r="FV32" s="292"/>
      <c r="FW32" s="292"/>
      <c r="FX32" s="292"/>
      <c r="FY32" s="292"/>
      <c r="FZ32" s="292"/>
      <c r="GA32" s="292"/>
      <c r="GB32" s="292"/>
      <c r="GC32" s="292"/>
      <c r="GD32" s="292"/>
      <c r="GE32" s="292"/>
      <c r="GF32" s="292"/>
      <c r="GG32" s="292"/>
      <c r="GH32" s="292"/>
      <c r="GI32" s="292"/>
      <c r="GJ32" s="292"/>
      <c r="GK32" s="292"/>
      <c r="GL32" s="292"/>
      <c r="GM32" s="292"/>
      <c r="GN32" s="292"/>
      <c r="GO32" s="292"/>
      <c r="GP32" s="292"/>
      <c r="GQ32" s="292"/>
      <c r="GR32" s="292"/>
      <c r="GS32" s="292"/>
      <c r="GT32" s="292"/>
      <c r="GU32" s="292"/>
      <c r="GV32" s="292"/>
      <c r="GW32" s="292"/>
      <c r="GX32" s="292"/>
      <c r="GY32" s="292"/>
      <c r="GZ32" s="292"/>
      <c r="HA32" s="292"/>
      <c r="HB32" s="292"/>
      <c r="HC32" s="292"/>
      <c r="HD32" s="292"/>
      <c r="HE32" s="292"/>
      <c r="HF32" s="292"/>
      <c r="HG32" s="292"/>
      <c r="HH32" s="292"/>
      <c r="HI32" s="292"/>
      <c r="HJ32" s="292"/>
      <c r="HK32" s="292"/>
      <c r="HL32" s="292"/>
      <c r="HM32" s="292"/>
      <c r="HN32" s="292"/>
      <c r="HO32" s="292"/>
      <c r="HP32" s="292"/>
      <c r="HQ32" s="292"/>
      <c r="HR32" s="292"/>
      <c r="HS32" s="292"/>
      <c r="HT32" s="292"/>
      <c r="HU32" s="292"/>
      <c r="HV32" s="292"/>
      <c r="HW32" s="292"/>
      <c r="HX32" s="292"/>
      <c r="HY32" s="292"/>
      <c r="HZ32" s="292"/>
      <c r="IA32" s="292"/>
      <c r="IB32" s="292"/>
      <c r="IC32" s="292"/>
      <c r="ID32" s="292"/>
      <c r="IE32" s="292"/>
      <c r="IF32" s="292"/>
      <c r="IG32" s="292"/>
      <c r="IH32" s="292"/>
      <c r="II32" s="292"/>
      <c r="IJ32" s="292"/>
      <c r="IK32" s="292"/>
      <c r="IL32" s="292"/>
      <c r="IM32" s="292"/>
      <c r="IN32" s="292"/>
      <c r="IO32" s="292"/>
      <c r="IP32" s="292"/>
      <c r="IQ32" s="292"/>
      <c r="IR32" s="292"/>
      <c r="IS32" s="292"/>
      <c r="IT32" s="292"/>
      <c r="IU32" s="292"/>
      <c r="IV32" s="292"/>
      <c r="IW32" s="292"/>
      <c r="IX32" s="292"/>
      <c r="IY32" s="292"/>
      <c r="IZ32" s="292"/>
      <c r="JA32" s="292"/>
      <c r="JB32" s="292"/>
      <c r="JC32" s="292"/>
      <c r="JD32" s="292"/>
      <c r="JE32" s="292"/>
      <c r="JF32" s="292"/>
      <c r="JG32" s="292"/>
      <c r="JH32" s="292"/>
      <c r="JI32" s="292"/>
      <c r="JJ32" s="292"/>
      <c r="JK32" s="292"/>
      <c r="JL32" s="292"/>
      <c r="JM32" s="292"/>
      <c r="JN32" s="292"/>
      <c r="JO32" s="292"/>
      <c r="JP32" s="292"/>
      <c r="JQ32" s="292"/>
      <c r="JR32" s="292"/>
      <c r="JS32" s="292"/>
      <c r="JT32" s="292"/>
      <c r="JU32" s="292"/>
      <c r="JV32" s="292"/>
      <c r="JW32" s="292"/>
      <c r="JX32" s="292"/>
      <c r="JY32" s="292"/>
      <c r="JZ32" s="292"/>
      <c r="KA32" s="292"/>
      <c r="KB32" s="292"/>
      <c r="KC32" s="292"/>
      <c r="KD32" s="292"/>
      <c r="KE32" s="292"/>
      <c r="KF32" s="292"/>
      <c r="KG32" s="292"/>
      <c r="KH32" s="292"/>
      <c r="KI32" s="292"/>
      <c r="KJ32" s="292"/>
      <c r="KK32" s="292"/>
      <c r="KL32" s="292"/>
      <c r="KM32" s="292"/>
      <c r="KN32" s="292"/>
      <c r="KO32" s="292"/>
      <c r="KP32" s="292"/>
      <c r="KQ32" s="292"/>
      <c r="KR32" s="292"/>
      <c r="KS32" s="292"/>
      <c r="KT32" s="292"/>
      <c r="KU32" s="292"/>
      <c r="KV32" s="292"/>
      <c r="KW32" s="292"/>
      <c r="KX32" s="292"/>
      <c r="KY32" s="292"/>
      <c r="KZ32" s="292"/>
      <c r="LA32" s="292"/>
      <c r="LB32" s="292"/>
      <c r="LC32" s="292"/>
      <c r="LD32" s="292"/>
      <c r="LE32" s="292"/>
      <c r="LF32" s="292"/>
      <c r="LG32" s="292"/>
      <c r="LH32" s="292"/>
      <c r="LI32" s="292"/>
      <c r="LJ32" s="292"/>
      <c r="LK32" s="292"/>
      <c r="LL32" s="292"/>
      <c r="LM32" s="292"/>
      <c r="LN32" s="292"/>
      <c r="LO32" s="292"/>
      <c r="LP32" s="292"/>
      <c r="LQ32" s="292"/>
      <c r="LR32" s="292"/>
      <c r="LS32" s="292"/>
      <c r="LT32" s="292"/>
      <c r="LU32" s="292"/>
      <c r="LV32" s="292"/>
      <c r="LW32" s="292"/>
      <c r="LX32" s="292"/>
      <c r="LY32" s="292"/>
      <c r="LZ32" s="292"/>
      <c r="MA32" s="292"/>
      <c r="MB32" s="292"/>
      <c r="MC32" s="292"/>
      <c r="MD32" s="292"/>
      <c r="ME32" s="292"/>
      <c r="MF32" s="292"/>
      <c r="MG32" s="292"/>
      <c r="MH32" s="292"/>
      <c r="MI32" s="292"/>
      <c r="MJ32" s="292"/>
      <c r="MK32" s="292"/>
      <c r="ML32" s="292"/>
      <c r="MM32" s="292"/>
      <c r="MN32" s="292"/>
      <c r="MO32" s="292"/>
      <c r="MP32" s="292"/>
      <c r="MQ32" s="292"/>
      <c r="MR32" s="292"/>
      <c r="MS32" s="292"/>
      <c r="MT32" s="292"/>
      <c r="MU32" s="292"/>
      <c r="MV32" s="292"/>
      <c r="MW32" s="292"/>
      <c r="MX32" s="292"/>
      <c r="MY32" s="292"/>
      <c r="MZ32" s="292"/>
      <c r="NA32" s="292"/>
      <c r="NB32" s="292"/>
      <c r="NC32" s="292"/>
      <c r="ND32" s="292"/>
      <c r="NE32" s="292"/>
      <c r="NF32" s="292"/>
      <c r="NG32" s="292"/>
      <c r="NH32" s="292"/>
      <c r="NI32" s="292"/>
      <c r="NJ32" s="292"/>
      <c r="NK32" s="292"/>
      <c r="NL32" s="292"/>
      <c r="NM32" s="292"/>
      <c r="NN32" s="292"/>
      <c r="NO32" s="292"/>
      <c r="NP32" s="292"/>
      <c r="NQ32" s="292"/>
      <c r="NR32" s="292"/>
      <c r="NS32" s="292"/>
      <c r="NT32" s="292"/>
      <c r="NU32" s="292"/>
      <c r="NV32" s="292"/>
      <c r="NW32" s="292"/>
      <c r="NX32" s="292"/>
      <c r="NY32" s="568"/>
      <c r="NZ32" s="568"/>
      <c r="OA32" s="575"/>
      <c r="OB32" s="575"/>
      <c r="OC32" s="578"/>
      <c r="OD32" s="578"/>
    </row>
    <row r="33" spans="1:394" s="20" customFormat="1" ht="12" customHeight="1">
      <c r="A33" s="314" t="s">
        <v>137</v>
      </c>
      <c r="B33" s="167"/>
      <c r="C33" s="47"/>
      <c r="D33" s="289"/>
      <c r="E33" s="289"/>
      <c r="F33" s="289"/>
      <c r="G33" s="289"/>
      <c r="H33" s="289"/>
      <c r="I33" s="289"/>
      <c r="J33" s="162"/>
      <c r="K33" s="14"/>
      <c r="L33" s="289"/>
      <c r="M33" s="289"/>
      <c r="N33" s="298"/>
      <c r="O33" s="289"/>
      <c r="P33" s="289"/>
      <c r="Q33" s="289"/>
      <c r="R33" s="289"/>
      <c r="S33" s="289"/>
      <c r="T33" s="289"/>
      <c r="U33" s="289"/>
      <c r="V33" s="289" t="s">
        <v>319</v>
      </c>
      <c r="W33" s="289"/>
      <c r="X33" s="289"/>
      <c r="Y33" s="14"/>
      <c r="Z33" s="289"/>
      <c r="AA33" s="289"/>
      <c r="AB33" s="14"/>
      <c r="AC33" s="14"/>
      <c r="AD33" s="289"/>
      <c r="AE33" s="14"/>
      <c r="AF33" s="14"/>
      <c r="AG33" s="289"/>
      <c r="AH33" s="14"/>
      <c r="AI33" s="14"/>
      <c r="AJ33" s="289"/>
      <c r="AK33" s="14"/>
      <c r="AL33" s="14"/>
      <c r="AM33" s="289"/>
      <c r="AN33" s="14"/>
      <c r="AO33" s="14"/>
      <c r="AP33" s="455"/>
      <c r="AQ33" s="489"/>
      <c r="AR33" s="389"/>
      <c r="AS33" s="14"/>
      <c r="AT33" s="14"/>
      <c r="AU33" s="14"/>
      <c r="AV33" s="14"/>
      <c r="AW33" s="14"/>
      <c r="AX33" s="14"/>
      <c r="AY33" s="14"/>
      <c r="AZ33" s="14"/>
      <c r="BA33" s="14"/>
      <c r="BB33" s="14"/>
      <c r="BC33" s="14"/>
      <c r="BD33" s="14"/>
      <c r="BE33" s="14"/>
      <c r="BF33" s="289"/>
      <c r="BG33" s="291"/>
      <c r="BH33" s="289"/>
      <c r="BI33" s="289"/>
      <c r="BJ33" s="291"/>
      <c r="BK33" s="289"/>
      <c r="BL33" s="289"/>
      <c r="BM33" s="291"/>
      <c r="BN33" s="289"/>
      <c r="BO33" s="289"/>
      <c r="BP33" s="291"/>
      <c r="BQ33" s="289"/>
      <c r="BR33" s="289"/>
      <c r="BS33" s="291"/>
      <c r="BT33" s="289"/>
      <c r="BU33" s="289"/>
      <c r="BV33" s="291"/>
      <c r="BW33" s="289"/>
      <c r="BX33" s="289"/>
      <c r="BY33" s="291"/>
      <c r="BZ33" s="289"/>
      <c r="CA33" s="289"/>
      <c r="CB33" s="291"/>
      <c r="CC33" s="292"/>
      <c r="EG33" s="292"/>
      <c r="EH33" s="292"/>
      <c r="EI33" s="292"/>
      <c r="EJ33" s="292"/>
      <c r="EK33" s="292"/>
      <c r="EL33" s="292"/>
      <c r="EM33" s="292"/>
      <c r="EN33" s="292"/>
      <c r="EO33" s="292"/>
      <c r="EP33" s="292"/>
      <c r="EQ33" s="292"/>
      <c r="ER33" s="292"/>
      <c r="ES33" s="292"/>
      <c r="ET33" s="292"/>
      <c r="EU33" s="292"/>
      <c r="EV33" s="292"/>
      <c r="EW33" s="292"/>
      <c r="EX33" s="292"/>
      <c r="FA33" s="292"/>
      <c r="FB33" s="292"/>
      <c r="FC33" s="292"/>
      <c r="FD33" s="292"/>
      <c r="FE33" s="292"/>
      <c r="FF33" s="292"/>
      <c r="FG33" s="292"/>
      <c r="FH33" s="292"/>
      <c r="FI33" s="292"/>
      <c r="FJ33" s="292"/>
      <c r="FK33" s="292"/>
      <c r="FL33" s="292"/>
      <c r="FM33" s="292"/>
      <c r="FN33" s="292"/>
      <c r="FO33" s="292"/>
      <c r="FP33" s="292"/>
      <c r="FQ33" s="292"/>
      <c r="FR33" s="292"/>
      <c r="FS33" s="292"/>
      <c r="FT33" s="292"/>
      <c r="FU33" s="292"/>
      <c r="FV33" s="292"/>
      <c r="FW33" s="292"/>
      <c r="FX33" s="292"/>
      <c r="FY33" s="292"/>
      <c r="FZ33" s="292"/>
      <c r="GA33" s="292"/>
      <c r="GB33" s="292"/>
      <c r="GC33" s="292"/>
      <c r="GD33" s="292"/>
      <c r="GE33" s="292"/>
      <c r="GF33" s="292"/>
      <c r="GG33" s="292"/>
      <c r="GH33" s="292"/>
      <c r="GI33" s="292"/>
      <c r="GJ33" s="292"/>
      <c r="GK33" s="292"/>
      <c r="GL33" s="292"/>
      <c r="GM33" s="292"/>
      <c r="GN33" s="292"/>
      <c r="GO33" s="292"/>
      <c r="GP33" s="292"/>
      <c r="GQ33" s="292"/>
      <c r="GR33" s="292"/>
      <c r="GS33" s="292"/>
      <c r="GT33" s="292"/>
      <c r="GU33" s="292"/>
      <c r="GV33" s="292"/>
      <c r="GW33" s="292"/>
      <c r="GX33" s="292"/>
      <c r="GY33" s="292"/>
      <c r="GZ33" s="292"/>
      <c r="HA33" s="292"/>
      <c r="HB33" s="292"/>
      <c r="HC33" s="292"/>
      <c r="HD33" s="292"/>
      <c r="HE33" s="292"/>
      <c r="HF33" s="292"/>
      <c r="HG33" s="292"/>
      <c r="HH33" s="292"/>
      <c r="HI33" s="292"/>
      <c r="HJ33" s="292"/>
      <c r="HK33" s="292"/>
      <c r="HL33" s="292"/>
      <c r="HM33" s="292"/>
      <c r="HN33" s="292"/>
      <c r="HO33" s="292"/>
      <c r="HP33" s="292"/>
      <c r="HQ33" s="292"/>
      <c r="HR33" s="292"/>
      <c r="HS33" s="292"/>
      <c r="HT33" s="292"/>
      <c r="HU33" s="292"/>
      <c r="HV33" s="292"/>
      <c r="HW33" s="292"/>
      <c r="HX33" s="292"/>
      <c r="HY33" s="292"/>
      <c r="HZ33" s="292"/>
      <c r="IA33" s="292"/>
      <c r="IB33" s="292"/>
      <c r="IC33" s="292"/>
      <c r="ID33" s="292"/>
      <c r="IE33" s="292"/>
      <c r="IF33" s="292"/>
      <c r="IG33" s="292"/>
      <c r="IH33" s="292"/>
      <c r="II33" s="292"/>
      <c r="IJ33" s="292"/>
      <c r="IK33" s="292"/>
      <c r="IL33" s="292"/>
      <c r="IM33" s="292"/>
      <c r="IN33" s="292"/>
      <c r="IO33" s="292"/>
      <c r="IP33" s="292"/>
      <c r="IQ33" s="292"/>
      <c r="IR33" s="292"/>
      <c r="IS33" s="292"/>
      <c r="IT33" s="292"/>
      <c r="IU33" s="292"/>
      <c r="IV33" s="292"/>
      <c r="IW33" s="292"/>
      <c r="IX33" s="292"/>
      <c r="IY33" s="292"/>
      <c r="IZ33" s="292"/>
      <c r="JA33" s="292"/>
      <c r="JB33" s="292"/>
      <c r="JC33" s="292"/>
      <c r="JD33" s="292"/>
      <c r="JE33" s="292"/>
      <c r="JF33" s="292"/>
      <c r="JG33" s="292"/>
      <c r="JH33" s="292"/>
      <c r="JI33" s="292"/>
      <c r="JJ33" s="292"/>
      <c r="JK33" s="292"/>
      <c r="JL33" s="292"/>
      <c r="JM33" s="292"/>
      <c r="JN33" s="292"/>
      <c r="JO33" s="292"/>
      <c r="JP33" s="292"/>
      <c r="JQ33" s="292"/>
      <c r="JR33" s="292"/>
      <c r="JS33" s="292"/>
      <c r="JT33" s="292"/>
      <c r="JU33" s="292"/>
      <c r="JV33" s="292"/>
      <c r="JW33" s="292"/>
      <c r="JX33" s="292"/>
      <c r="JY33" s="292"/>
      <c r="JZ33" s="292"/>
      <c r="KA33" s="292"/>
      <c r="KB33" s="292"/>
      <c r="KC33" s="292"/>
      <c r="KD33" s="292"/>
      <c r="KE33" s="292"/>
      <c r="KF33" s="292"/>
      <c r="KG33" s="292"/>
      <c r="KH33" s="292"/>
      <c r="KI33" s="292"/>
      <c r="KJ33" s="292"/>
      <c r="KK33" s="292"/>
      <c r="KL33" s="292"/>
      <c r="KM33" s="292"/>
      <c r="KN33" s="292"/>
      <c r="KO33" s="292"/>
      <c r="KP33" s="292"/>
      <c r="KQ33" s="292"/>
      <c r="KR33" s="292"/>
      <c r="KS33" s="292"/>
      <c r="KT33" s="292"/>
      <c r="KU33" s="292"/>
      <c r="KV33" s="292"/>
      <c r="KW33" s="292"/>
      <c r="KX33" s="292"/>
      <c r="KY33" s="292"/>
      <c r="KZ33" s="292"/>
      <c r="LA33" s="292"/>
      <c r="LB33" s="292"/>
      <c r="LC33" s="292"/>
      <c r="LD33" s="292"/>
      <c r="LE33" s="292"/>
      <c r="LF33" s="292"/>
      <c r="LG33" s="292"/>
      <c r="LH33" s="292"/>
      <c r="LI33" s="292"/>
      <c r="LJ33" s="292"/>
      <c r="LK33" s="292"/>
      <c r="LL33" s="292"/>
      <c r="LM33" s="292"/>
      <c r="LN33" s="292"/>
      <c r="LO33" s="292"/>
      <c r="LP33" s="292"/>
      <c r="LQ33" s="292"/>
      <c r="LR33" s="292"/>
      <c r="LS33" s="292"/>
      <c r="LT33" s="292"/>
      <c r="LU33" s="292"/>
      <c r="LV33" s="292"/>
      <c r="LW33" s="292"/>
      <c r="LX33" s="292"/>
      <c r="LY33" s="292"/>
      <c r="LZ33" s="292"/>
      <c r="MA33" s="292"/>
      <c r="MB33" s="292"/>
      <c r="MC33" s="292"/>
      <c r="MD33" s="292"/>
      <c r="ME33" s="292"/>
      <c r="MF33" s="292"/>
      <c r="MG33" s="292"/>
      <c r="MH33" s="292"/>
      <c r="MI33" s="292"/>
      <c r="MJ33" s="292"/>
      <c r="MK33" s="292"/>
      <c r="ML33" s="292"/>
      <c r="MM33" s="292"/>
      <c r="MN33" s="292"/>
      <c r="MO33" s="292"/>
      <c r="MP33" s="292"/>
      <c r="MQ33" s="292"/>
      <c r="MR33" s="292"/>
      <c r="MS33" s="292"/>
      <c r="MT33" s="292"/>
      <c r="MU33" s="292"/>
      <c r="MV33" s="292"/>
      <c r="MW33" s="292"/>
      <c r="MX33" s="292"/>
      <c r="MY33" s="292"/>
      <c r="MZ33" s="292"/>
      <c r="NA33" s="292"/>
      <c r="NB33" s="292"/>
      <c r="NC33" s="292"/>
      <c r="ND33" s="292"/>
      <c r="NE33" s="292"/>
      <c r="NF33" s="292"/>
      <c r="NG33" s="292"/>
      <c r="NH33" s="292"/>
      <c r="NI33" s="292"/>
      <c r="NJ33" s="292"/>
      <c r="NK33" s="292"/>
      <c r="NL33" s="292"/>
      <c r="NM33" s="292"/>
      <c r="NN33" s="292"/>
      <c r="NO33" s="292"/>
      <c r="NP33" s="292"/>
      <c r="NQ33" s="292"/>
      <c r="NR33" s="292"/>
      <c r="NS33" s="292"/>
      <c r="NT33" s="292"/>
      <c r="NU33" s="292"/>
      <c r="NV33" s="292"/>
      <c r="NW33" s="292"/>
      <c r="NX33" s="292"/>
      <c r="NY33" s="568"/>
      <c r="NZ33" s="568"/>
      <c r="OA33" s="575"/>
      <c r="OB33" s="575"/>
      <c r="OC33" s="578"/>
      <c r="OD33" s="578"/>
    </row>
    <row r="34" spans="1:394" s="291" customFormat="1" ht="12" customHeight="1">
      <c r="A34" s="285" t="s">
        <v>185</v>
      </c>
      <c r="B34" s="155"/>
      <c r="C34" s="46"/>
      <c r="D34" s="325"/>
      <c r="E34" s="465"/>
      <c r="F34" s="347"/>
      <c r="G34" s="325" t="s">
        <v>62</v>
      </c>
      <c r="H34" s="465"/>
      <c r="I34" s="347"/>
      <c r="J34" s="348"/>
      <c r="K34" s="465"/>
      <c r="L34" s="347"/>
      <c r="M34" s="348"/>
      <c r="N34" s="465"/>
      <c r="O34" s="347"/>
      <c r="P34" s="348" t="s">
        <v>62</v>
      </c>
      <c r="Q34" s="465"/>
      <c r="R34" s="347"/>
      <c r="S34" s="348" t="s">
        <v>62</v>
      </c>
      <c r="T34" s="465"/>
      <c r="U34" s="347"/>
      <c r="V34" s="348" t="s">
        <v>62</v>
      </c>
      <c r="W34" s="465"/>
      <c r="X34" s="347"/>
      <c r="Y34" s="348" t="s">
        <v>62</v>
      </c>
      <c r="Z34" s="465"/>
      <c r="AA34" s="347"/>
      <c r="AB34" s="481"/>
      <c r="AC34" s="480"/>
      <c r="AD34" s="347"/>
      <c r="AE34" s="348" t="s">
        <v>62</v>
      </c>
      <c r="AF34" s="465"/>
      <c r="AG34" s="347"/>
      <c r="AH34" s="348" t="s">
        <v>62</v>
      </c>
      <c r="AI34" s="465"/>
      <c r="AJ34" s="347"/>
      <c r="AK34" s="348" t="s">
        <v>62</v>
      </c>
      <c r="AL34" s="480"/>
      <c r="AM34" s="347"/>
      <c r="AN34" s="348" t="s">
        <v>62</v>
      </c>
      <c r="AO34" s="478"/>
      <c r="AP34" s="321" t="str">
        <f>A34</f>
        <v>Vehicle Schedule @ MPW</v>
      </c>
      <c r="AQ34" s="386"/>
      <c r="AR34" s="387"/>
      <c r="AS34" s="348" t="s">
        <v>62</v>
      </c>
      <c r="AT34" s="478"/>
      <c r="AU34" s="553"/>
      <c r="AV34" s="348" t="s">
        <v>62</v>
      </c>
      <c r="AW34" s="478"/>
      <c r="AX34" s="553"/>
      <c r="AY34" s="348" t="s">
        <v>62</v>
      </c>
      <c r="AZ34" s="478"/>
      <c r="BA34" s="553"/>
      <c r="BB34" s="348" t="s">
        <v>62</v>
      </c>
      <c r="BC34" s="478"/>
      <c r="BD34" s="553"/>
      <c r="BE34" s="348" t="s">
        <v>62</v>
      </c>
      <c r="BF34" s="478"/>
      <c r="BG34" s="553"/>
      <c r="BH34" s="348" t="s">
        <v>62</v>
      </c>
      <c r="BI34" s="360"/>
      <c r="BJ34" s="357"/>
      <c r="BK34" s="348"/>
      <c r="BL34" s="360"/>
      <c r="BM34" s="357"/>
      <c r="BN34" s="348"/>
      <c r="BO34" s="360"/>
      <c r="BP34" s="357"/>
      <c r="BQ34" s="348" t="s">
        <v>62</v>
      </c>
      <c r="BR34" s="360"/>
      <c r="BS34" s="357"/>
      <c r="BT34" s="348" t="s">
        <v>62</v>
      </c>
      <c r="BU34" s="360"/>
      <c r="BV34" s="357"/>
      <c r="BW34" s="584" t="s">
        <v>62</v>
      </c>
      <c r="BX34" s="360"/>
      <c r="BY34" s="357"/>
      <c r="BZ34" s="348" t="s">
        <v>62</v>
      </c>
      <c r="CA34" s="360"/>
      <c r="CB34" s="357"/>
    </row>
    <row r="35" spans="1:394" s="17" customFormat="1" ht="12" customHeight="1" thickBot="1">
      <c r="A35" s="196" t="s">
        <v>221</v>
      </c>
      <c r="B35" s="109" t="s">
        <v>201</v>
      </c>
      <c r="C35" s="47"/>
      <c r="D35" s="561">
        <v>100</v>
      </c>
      <c r="E35" s="473">
        <v>30</v>
      </c>
      <c r="F35" s="561"/>
      <c r="G35" s="561">
        <v>100</v>
      </c>
      <c r="H35" s="561">
        <v>20</v>
      </c>
      <c r="I35" s="561"/>
      <c r="J35" s="561">
        <v>100</v>
      </c>
      <c r="K35" s="473">
        <v>20</v>
      </c>
      <c r="L35" s="473"/>
      <c r="M35" s="473">
        <v>90</v>
      </c>
      <c r="N35" s="473">
        <v>30</v>
      </c>
      <c r="O35" s="561"/>
      <c r="P35" s="561">
        <v>100</v>
      </c>
      <c r="Q35" s="473">
        <v>30</v>
      </c>
      <c r="R35" s="561"/>
      <c r="S35" s="561">
        <v>100</v>
      </c>
      <c r="T35" s="561">
        <v>20</v>
      </c>
      <c r="U35" s="561"/>
      <c r="V35" s="561">
        <v>100</v>
      </c>
      <c r="W35" s="473">
        <v>30</v>
      </c>
      <c r="X35" s="561"/>
      <c r="Y35" s="561">
        <v>100</v>
      </c>
      <c r="Z35" s="561">
        <v>20</v>
      </c>
      <c r="AA35" s="561"/>
      <c r="AB35" s="473">
        <v>100</v>
      </c>
      <c r="AC35" s="473">
        <v>29</v>
      </c>
      <c r="AD35" s="587"/>
      <c r="AE35" s="585" t="s">
        <v>345</v>
      </c>
      <c r="AF35" s="483">
        <v>20</v>
      </c>
      <c r="AG35" s="396"/>
      <c r="AH35" s="483">
        <v>100</v>
      </c>
      <c r="AI35" s="483">
        <v>20</v>
      </c>
      <c r="AJ35" s="396"/>
      <c r="AK35" s="483">
        <v>100</v>
      </c>
      <c r="AL35" s="612">
        <v>30</v>
      </c>
      <c r="AM35" s="289"/>
      <c r="AN35" s="586">
        <v>87</v>
      </c>
      <c r="AO35" s="298">
        <v>20</v>
      </c>
      <c r="AP35" s="441" t="str">
        <f t="shared" ref="AP35:AP37" si="3">A35</f>
        <v>Taurus/Explorer - Chicago</v>
      </c>
      <c r="AQ35" s="297" t="s">
        <v>201</v>
      </c>
      <c r="AR35" s="389"/>
      <c r="AS35" s="289">
        <v>100</v>
      </c>
      <c r="AT35" s="289">
        <v>30</v>
      </c>
      <c r="AU35" s="291"/>
      <c r="AV35" s="298">
        <v>60</v>
      </c>
      <c r="AW35" s="298">
        <v>20</v>
      </c>
      <c r="AX35" s="291"/>
      <c r="AY35" s="289">
        <v>100</v>
      </c>
      <c r="AZ35" s="289">
        <v>30</v>
      </c>
      <c r="BA35" s="291"/>
      <c r="BB35" s="289">
        <v>100</v>
      </c>
      <c r="BC35" s="289">
        <v>30</v>
      </c>
      <c r="BD35" s="291"/>
      <c r="BE35" s="289">
        <v>100</v>
      </c>
      <c r="BF35" s="289">
        <v>20</v>
      </c>
      <c r="BG35" s="291"/>
      <c r="BH35" s="289">
        <v>99</v>
      </c>
      <c r="BI35" s="289">
        <v>10</v>
      </c>
      <c r="BJ35" s="291"/>
      <c r="BK35" s="293" t="s">
        <v>116</v>
      </c>
      <c r="BL35" s="293"/>
      <c r="BM35" s="291"/>
      <c r="BN35" s="293">
        <v>78</v>
      </c>
      <c r="BO35" s="293">
        <v>30</v>
      </c>
      <c r="BP35" s="291"/>
      <c r="BQ35" s="293">
        <v>100</v>
      </c>
      <c r="BR35" s="293">
        <v>30</v>
      </c>
      <c r="BS35" s="291"/>
      <c r="BT35" s="485">
        <v>80</v>
      </c>
      <c r="BU35" s="485">
        <v>20</v>
      </c>
      <c r="BV35" s="291"/>
      <c r="BW35" s="293">
        <v>100</v>
      </c>
      <c r="BX35" s="293">
        <v>30</v>
      </c>
      <c r="BY35" s="291"/>
      <c r="BZ35" s="293">
        <v>100</v>
      </c>
      <c r="CA35" s="293">
        <v>30</v>
      </c>
      <c r="CB35" s="291"/>
      <c r="CC35" s="291"/>
      <c r="CD35" s="113"/>
      <c r="EG35" s="291"/>
      <c r="EH35" s="291"/>
      <c r="EI35" s="291"/>
      <c r="EJ35" s="291"/>
      <c r="EK35" s="291"/>
      <c r="EL35" s="291"/>
      <c r="EM35" s="291"/>
      <c r="EN35" s="291"/>
      <c r="EO35" s="291"/>
      <c r="EP35" s="291"/>
      <c r="EQ35" s="291"/>
      <c r="ER35" s="291"/>
      <c r="ES35" s="291"/>
      <c r="ET35" s="291"/>
      <c r="EU35" s="291"/>
      <c r="EV35" s="291"/>
      <c r="EW35" s="291"/>
      <c r="EX35" s="291"/>
      <c r="FA35" s="291"/>
      <c r="FB35" s="291"/>
      <c r="FC35" s="291"/>
      <c r="FD35" s="291"/>
      <c r="FE35" s="291"/>
      <c r="FF35" s="291"/>
      <c r="FG35" s="291"/>
      <c r="FH35" s="291"/>
      <c r="FI35" s="291"/>
      <c r="FJ35" s="291"/>
      <c r="FK35" s="291"/>
      <c r="FL35" s="291"/>
      <c r="FM35" s="291"/>
      <c r="FN35" s="291"/>
      <c r="FO35" s="291"/>
      <c r="FP35" s="291"/>
      <c r="FQ35" s="291"/>
      <c r="FR35" s="291"/>
      <c r="FS35" s="291"/>
      <c r="FT35" s="291"/>
      <c r="FU35" s="291"/>
      <c r="FV35" s="291"/>
      <c r="FW35" s="291"/>
      <c r="FX35" s="291"/>
      <c r="FY35" s="291"/>
      <c r="FZ35" s="291"/>
      <c r="GA35" s="291"/>
      <c r="GB35" s="291"/>
      <c r="GC35" s="291"/>
      <c r="GD35" s="291"/>
      <c r="GE35" s="291"/>
      <c r="GF35" s="291"/>
      <c r="GG35" s="291"/>
      <c r="GH35" s="291"/>
      <c r="GI35" s="291"/>
      <c r="GJ35" s="291"/>
      <c r="GK35" s="291"/>
      <c r="GL35" s="291"/>
      <c r="GM35" s="291"/>
      <c r="GN35" s="291"/>
      <c r="GO35" s="291"/>
      <c r="GP35" s="291"/>
      <c r="GQ35" s="291"/>
      <c r="GR35" s="291"/>
      <c r="GS35" s="291"/>
      <c r="GT35" s="291"/>
      <c r="GU35" s="291"/>
      <c r="GV35" s="291"/>
      <c r="GW35" s="291"/>
      <c r="GX35" s="291"/>
      <c r="GY35" s="291"/>
      <c r="GZ35" s="291"/>
      <c r="HA35" s="291"/>
      <c r="HB35" s="291"/>
      <c r="HC35" s="291"/>
      <c r="HD35" s="291"/>
      <c r="HE35" s="291"/>
      <c r="HF35" s="291"/>
      <c r="HG35" s="291"/>
      <c r="HH35" s="291"/>
      <c r="HI35" s="291"/>
      <c r="HJ35" s="291"/>
      <c r="HK35" s="291"/>
      <c r="HL35" s="291"/>
      <c r="HM35" s="291"/>
      <c r="HN35" s="291"/>
      <c r="HO35" s="291"/>
      <c r="HP35" s="291"/>
      <c r="HQ35" s="291"/>
      <c r="HR35" s="291"/>
      <c r="HS35" s="291"/>
      <c r="HT35" s="291"/>
      <c r="HU35" s="291"/>
      <c r="HV35" s="291"/>
      <c r="HW35" s="291"/>
      <c r="HX35" s="291"/>
      <c r="HY35" s="291"/>
      <c r="HZ35" s="291"/>
      <c r="IA35" s="291"/>
      <c r="IB35" s="291"/>
      <c r="IC35" s="291"/>
      <c r="ID35" s="291"/>
      <c r="IE35" s="291"/>
      <c r="IF35" s="291"/>
      <c r="IG35" s="291"/>
      <c r="IH35" s="291"/>
      <c r="II35" s="291"/>
      <c r="IJ35" s="291"/>
      <c r="IK35" s="291"/>
      <c r="IL35" s="291"/>
      <c r="IM35" s="291"/>
      <c r="IN35" s="291"/>
      <c r="IO35" s="291"/>
      <c r="IP35" s="291"/>
      <c r="IQ35" s="291"/>
      <c r="IR35" s="291"/>
      <c r="IS35" s="291"/>
      <c r="IT35" s="291"/>
      <c r="IU35" s="291"/>
      <c r="IV35" s="291"/>
      <c r="IW35" s="291"/>
      <c r="IX35" s="291"/>
      <c r="IY35" s="291"/>
      <c r="IZ35" s="291"/>
      <c r="JA35" s="291"/>
      <c r="JB35" s="291"/>
      <c r="JC35" s="291"/>
      <c r="JD35" s="291"/>
      <c r="JE35" s="291"/>
      <c r="JF35" s="291"/>
      <c r="JG35" s="291"/>
      <c r="JH35" s="291"/>
      <c r="JI35" s="291"/>
      <c r="JJ35" s="291"/>
      <c r="JK35" s="291"/>
      <c r="JL35" s="291"/>
      <c r="JM35" s="291"/>
      <c r="JN35" s="291"/>
      <c r="JO35" s="291"/>
      <c r="JP35" s="291"/>
      <c r="JQ35" s="291"/>
      <c r="JR35" s="291"/>
      <c r="JS35" s="291"/>
      <c r="JT35" s="291"/>
      <c r="JU35" s="291"/>
      <c r="JV35" s="291"/>
      <c r="JW35" s="291"/>
      <c r="JX35" s="291"/>
      <c r="JY35" s="291"/>
      <c r="JZ35" s="291"/>
      <c r="KA35" s="291"/>
      <c r="KB35" s="291"/>
      <c r="KC35" s="291"/>
      <c r="KD35" s="291"/>
      <c r="KE35" s="291"/>
      <c r="KF35" s="291"/>
      <c r="KG35" s="291"/>
      <c r="KH35" s="291"/>
      <c r="KI35" s="291"/>
      <c r="KJ35" s="291"/>
      <c r="KK35" s="291"/>
      <c r="KL35" s="291"/>
      <c r="KM35" s="291"/>
      <c r="KN35" s="291"/>
      <c r="KO35" s="291"/>
      <c r="KP35" s="291"/>
      <c r="KQ35" s="291"/>
      <c r="KR35" s="291"/>
      <c r="KS35" s="291"/>
      <c r="KT35" s="291"/>
      <c r="KU35" s="291"/>
      <c r="KV35" s="291"/>
      <c r="KW35" s="291"/>
      <c r="KX35" s="291"/>
      <c r="KY35" s="291"/>
      <c r="KZ35" s="291"/>
      <c r="LA35" s="291"/>
      <c r="LB35" s="291"/>
      <c r="LC35" s="291"/>
      <c r="LD35" s="291"/>
      <c r="LE35" s="291"/>
      <c r="LF35" s="291"/>
      <c r="LG35" s="291"/>
      <c r="LH35" s="291"/>
      <c r="LI35" s="291"/>
      <c r="LJ35" s="291"/>
      <c r="LK35" s="291"/>
      <c r="LL35" s="291"/>
      <c r="LM35" s="291"/>
      <c r="LN35" s="291"/>
      <c r="LO35" s="291"/>
      <c r="LP35" s="291"/>
      <c r="LQ35" s="291"/>
      <c r="LR35" s="291"/>
      <c r="LS35" s="291"/>
      <c r="LT35" s="291"/>
      <c r="LU35" s="291"/>
      <c r="LV35" s="291"/>
      <c r="LW35" s="291"/>
      <c r="LX35" s="291"/>
      <c r="LY35" s="291"/>
      <c r="LZ35" s="291"/>
      <c r="MA35" s="291"/>
      <c r="MB35" s="291"/>
      <c r="MC35" s="291"/>
      <c r="MD35" s="291"/>
      <c r="ME35" s="291"/>
      <c r="MF35" s="291"/>
      <c r="MG35" s="291"/>
      <c r="MH35" s="291"/>
      <c r="MI35" s="291"/>
      <c r="MJ35" s="291"/>
      <c r="MK35" s="291"/>
      <c r="ML35" s="291"/>
      <c r="MM35" s="291"/>
      <c r="MN35" s="291"/>
      <c r="MO35" s="291"/>
      <c r="MP35" s="291"/>
      <c r="MQ35" s="291"/>
      <c r="MR35" s="291"/>
      <c r="MS35" s="291"/>
      <c r="MT35" s="291"/>
      <c r="MU35" s="291"/>
      <c r="MV35" s="291"/>
      <c r="MW35" s="291"/>
      <c r="MX35" s="291"/>
      <c r="MY35" s="291"/>
      <c r="MZ35" s="291"/>
      <c r="NA35" s="291"/>
      <c r="NB35" s="291"/>
      <c r="NC35" s="291"/>
      <c r="ND35" s="291"/>
      <c r="NE35" s="291"/>
      <c r="NF35" s="291"/>
      <c r="NG35" s="291"/>
      <c r="NH35" s="291"/>
      <c r="NI35" s="291"/>
      <c r="NJ35" s="291"/>
      <c r="NK35" s="291"/>
      <c r="NL35" s="291"/>
      <c r="NM35" s="291"/>
      <c r="NN35" s="291"/>
      <c r="NO35" s="291"/>
      <c r="NP35" s="291"/>
      <c r="NQ35" s="291"/>
      <c r="NR35" s="291"/>
      <c r="NS35" s="291"/>
      <c r="NT35" s="291"/>
      <c r="NU35" s="291"/>
      <c r="NV35" s="291"/>
      <c r="NW35" s="291"/>
      <c r="NX35" s="291"/>
      <c r="NY35" s="291"/>
      <c r="NZ35" s="291"/>
      <c r="OA35" s="291"/>
      <c r="OB35" s="291"/>
      <c r="OC35" s="291"/>
      <c r="OD35" s="291"/>
    </row>
    <row r="36" spans="1:394" s="17" customFormat="1" ht="12" customHeight="1">
      <c r="A36" s="314" t="s">
        <v>131</v>
      </c>
      <c r="B36" s="109"/>
      <c r="C36" s="319"/>
      <c r="D36" s="289"/>
      <c r="E36" s="289"/>
      <c r="F36" s="289"/>
      <c r="G36" s="298"/>
      <c r="H36" s="298"/>
      <c r="I36" s="289"/>
      <c r="J36" s="289"/>
      <c r="K36" s="289"/>
      <c r="L36" s="289"/>
      <c r="M36" s="289"/>
      <c r="N36" s="289"/>
      <c r="O36" s="289"/>
      <c r="P36" s="298"/>
      <c r="Q36" s="298"/>
      <c r="R36" s="289"/>
      <c r="S36" s="298"/>
      <c r="T36" s="298"/>
      <c r="U36" s="289"/>
      <c r="V36" s="289"/>
      <c r="W36" s="289"/>
      <c r="X36" s="289"/>
      <c r="Y36" s="298"/>
      <c r="Z36" s="298"/>
      <c r="AA36" s="289"/>
      <c r="AB36" s="312" t="s">
        <v>280</v>
      </c>
      <c r="AC36" s="289"/>
      <c r="AD36" s="289"/>
      <c r="AE36" s="488" t="s">
        <v>279</v>
      </c>
      <c r="AF36" s="298"/>
      <c r="AG36" s="289"/>
      <c r="AH36" s="298"/>
      <c r="AI36" s="298"/>
      <c r="AJ36" s="289"/>
      <c r="AK36" s="298"/>
      <c r="AL36" s="298"/>
      <c r="AM36" s="289"/>
      <c r="AN36" s="298"/>
      <c r="AO36" s="298"/>
      <c r="AP36" s="315" t="str">
        <f t="shared" si="3"/>
        <v xml:space="preserve">       Matl. Prot.                    (3C)</v>
      </c>
      <c r="AQ36" s="490"/>
      <c r="AR36" s="378"/>
      <c r="AS36" s="289"/>
      <c r="AT36" s="289"/>
      <c r="AU36" s="291"/>
      <c r="AV36" s="298"/>
      <c r="AW36" s="298"/>
      <c r="AX36" s="291"/>
      <c r="AY36" s="289"/>
      <c r="AZ36" s="289"/>
      <c r="BA36" s="291"/>
      <c r="BB36" s="289"/>
      <c r="BC36" s="289"/>
      <c r="BD36" s="291"/>
      <c r="BE36" s="289"/>
      <c r="BF36" s="289"/>
      <c r="BG36" s="291"/>
      <c r="BH36" s="289"/>
      <c r="BI36" s="289"/>
      <c r="BJ36" s="291"/>
      <c r="BK36" s="289"/>
      <c r="BL36" s="289"/>
      <c r="BM36" s="291"/>
      <c r="BN36" s="289"/>
      <c r="BO36" s="289"/>
      <c r="BP36" s="291"/>
      <c r="BQ36" s="289"/>
      <c r="BR36" s="289"/>
      <c r="BS36" s="291"/>
      <c r="BT36" s="298"/>
      <c r="BU36" s="298"/>
      <c r="BV36" s="291"/>
      <c r="BW36" s="289"/>
      <c r="BX36" s="289"/>
      <c r="BY36" s="291"/>
      <c r="BZ36" s="289"/>
      <c r="CA36" s="289"/>
      <c r="CB36" s="291"/>
      <c r="CC36" s="291"/>
      <c r="EG36" s="291"/>
      <c r="EH36" s="291"/>
      <c r="EI36" s="291"/>
      <c r="EJ36" s="291"/>
      <c r="EK36" s="291"/>
      <c r="EL36" s="291"/>
      <c r="EM36" s="291"/>
      <c r="EN36" s="291"/>
      <c r="EO36" s="291"/>
      <c r="EP36" s="291"/>
      <c r="EQ36" s="291"/>
      <c r="ER36" s="291"/>
      <c r="ES36" s="291"/>
      <c r="ET36" s="291"/>
      <c r="EU36" s="291"/>
      <c r="EV36" s="291"/>
      <c r="EW36" s="291"/>
      <c r="EX36" s="291"/>
      <c r="FA36" s="291"/>
      <c r="FB36" s="291"/>
      <c r="FC36" s="291"/>
      <c r="FD36" s="291"/>
      <c r="FE36" s="291"/>
      <c r="FF36" s="291"/>
      <c r="FG36" s="291"/>
      <c r="FH36" s="291"/>
      <c r="FI36" s="291"/>
      <c r="FJ36" s="291"/>
      <c r="FK36" s="291"/>
      <c r="FL36" s="291"/>
      <c r="FM36" s="291"/>
      <c r="FN36" s="291"/>
      <c r="FO36" s="291"/>
      <c r="FP36" s="291"/>
      <c r="FQ36" s="291"/>
      <c r="FR36" s="291"/>
      <c r="FS36" s="291"/>
      <c r="FT36" s="291"/>
      <c r="FU36" s="291"/>
      <c r="FV36" s="291"/>
      <c r="FW36" s="291"/>
      <c r="FX36" s="291"/>
      <c r="FY36" s="291"/>
      <c r="FZ36" s="291"/>
      <c r="GA36" s="291"/>
      <c r="GB36" s="291"/>
      <c r="GC36" s="291"/>
      <c r="GD36" s="291"/>
      <c r="GE36" s="291"/>
      <c r="GF36" s="291"/>
      <c r="GG36" s="291"/>
      <c r="GH36" s="291"/>
      <c r="GI36" s="291"/>
      <c r="GJ36" s="291"/>
      <c r="GK36" s="291"/>
      <c r="GL36" s="291"/>
      <c r="GM36" s="291"/>
      <c r="GN36" s="291"/>
      <c r="GO36" s="291"/>
      <c r="GP36" s="291"/>
      <c r="GQ36" s="291"/>
      <c r="GR36" s="291"/>
      <c r="GS36" s="291"/>
      <c r="GT36" s="291"/>
      <c r="GU36" s="291"/>
      <c r="GV36" s="291"/>
      <c r="GW36" s="291"/>
      <c r="GX36" s="291"/>
      <c r="GY36" s="291"/>
      <c r="GZ36" s="291"/>
      <c r="HA36" s="291"/>
      <c r="HB36" s="291"/>
      <c r="HC36" s="291"/>
      <c r="HD36" s="291"/>
      <c r="HE36" s="291"/>
      <c r="HF36" s="291"/>
      <c r="HG36" s="291"/>
      <c r="HH36" s="291"/>
      <c r="HI36" s="291"/>
      <c r="HJ36" s="291"/>
      <c r="HK36" s="291"/>
      <c r="HL36" s="291"/>
      <c r="HM36" s="291"/>
      <c r="HN36" s="291"/>
      <c r="HO36" s="291"/>
      <c r="HP36" s="291"/>
      <c r="HQ36" s="291"/>
      <c r="HR36" s="291"/>
      <c r="HS36" s="291"/>
      <c r="HT36" s="291"/>
      <c r="HU36" s="291"/>
      <c r="HV36" s="291"/>
      <c r="HW36" s="291"/>
      <c r="HX36" s="291"/>
      <c r="HY36" s="291"/>
      <c r="HZ36" s="291"/>
      <c r="IA36" s="291"/>
      <c r="IB36" s="291"/>
      <c r="IC36" s="291"/>
      <c r="ID36" s="291"/>
      <c r="IE36" s="291"/>
      <c r="IF36" s="291"/>
      <c r="IG36" s="291"/>
      <c r="IH36" s="291"/>
      <c r="II36" s="291"/>
      <c r="IJ36" s="291"/>
      <c r="IK36" s="291"/>
      <c r="IL36" s="291"/>
      <c r="IM36" s="291"/>
      <c r="IN36" s="291"/>
      <c r="IO36" s="291"/>
      <c r="IP36" s="291"/>
      <c r="IQ36" s="291"/>
      <c r="IR36" s="291"/>
      <c r="IS36" s="291"/>
      <c r="IT36" s="291"/>
      <c r="IU36" s="291"/>
      <c r="IV36" s="291"/>
      <c r="IW36" s="291"/>
      <c r="IX36" s="291"/>
      <c r="IY36" s="291"/>
      <c r="IZ36" s="291"/>
      <c r="JA36" s="291"/>
      <c r="JB36" s="291"/>
      <c r="JC36" s="291"/>
      <c r="JD36" s="291"/>
      <c r="JE36" s="291"/>
      <c r="JF36" s="291"/>
      <c r="JG36" s="291"/>
      <c r="JH36" s="291"/>
      <c r="JI36" s="291"/>
      <c r="JJ36" s="291"/>
      <c r="JK36" s="291"/>
      <c r="JL36" s="291"/>
      <c r="JM36" s="291"/>
      <c r="JN36" s="291"/>
      <c r="JO36" s="291"/>
      <c r="JP36" s="291"/>
      <c r="JQ36" s="291"/>
      <c r="JR36" s="291"/>
      <c r="JS36" s="291"/>
      <c r="JT36" s="291"/>
      <c r="JU36" s="291"/>
      <c r="JV36" s="291"/>
      <c r="JW36" s="291"/>
      <c r="JX36" s="291"/>
      <c r="JY36" s="291"/>
      <c r="JZ36" s="291"/>
      <c r="KA36" s="291"/>
      <c r="KB36" s="291"/>
      <c r="KC36" s="291"/>
      <c r="KD36" s="291"/>
      <c r="KE36" s="291"/>
      <c r="KF36" s="291"/>
      <c r="KG36" s="291"/>
      <c r="KH36" s="291"/>
      <c r="KI36" s="291"/>
      <c r="KJ36" s="291"/>
      <c r="KK36" s="291"/>
      <c r="KL36" s="291"/>
      <c r="KM36" s="291"/>
      <c r="KN36" s="291"/>
      <c r="KO36" s="291"/>
      <c r="KP36" s="291"/>
      <c r="KQ36" s="291"/>
      <c r="KR36" s="291"/>
      <c r="KS36" s="291"/>
      <c r="KT36" s="291"/>
      <c r="KU36" s="291"/>
      <c r="KV36" s="291"/>
      <c r="KW36" s="291"/>
      <c r="KX36" s="291"/>
      <c r="KY36" s="291"/>
      <c r="KZ36" s="291"/>
      <c r="LA36" s="291"/>
      <c r="LB36" s="291"/>
      <c r="LC36" s="291"/>
      <c r="LD36" s="291"/>
      <c r="LE36" s="291"/>
      <c r="LF36" s="291"/>
      <c r="LG36" s="291"/>
      <c r="LH36" s="291"/>
      <c r="LI36" s="291"/>
      <c r="LJ36" s="291"/>
      <c r="LK36" s="291"/>
      <c r="LL36" s="291"/>
      <c r="LM36" s="291"/>
      <c r="LN36" s="291"/>
      <c r="LO36" s="291"/>
      <c r="LP36" s="291"/>
      <c r="LQ36" s="291"/>
      <c r="LR36" s="291"/>
      <c r="LS36" s="291"/>
      <c r="LT36" s="291"/>
      <c r="LU36" s="291"/>
      <c r="LV36" s="291"/>
      <c r="LW36" s="291"/>
      <c r="LX36" s="291"/>
      <c r="LY36" s="291"/>
      <c r="LZ36" s="291"/>
      <c r="MA36" s="291"/>
      <c r="MB36" s="291"/>
      <c r="MC36" s="291"/>
      <c r="MD36" s="291"/>
      <c r="ME36" s="291"/>
      <c r="MF36" s="291"/>
      <c r="MG36" s="291"/>
      <c r="MH36" s="291"/>
      <c r="MI36" s="291"/>
      <c r="MJ36" s="291"/>
      <c r="MK36" s="291"/>
      <c r="ML36" s="291"/>
      <c r="MM36" s="291"/>
      <c r="MN36" s="291"/>
      <c r="MO36" s="291"/>
      <c r="MP36" s="291"/>
      <c r="MQ36" s="291"/>
      <c r="MR36" s="291"/>
      <c r="MS36" s="291"/>
      <c r="MT36" s="291"/>
      <c r="MU36" s="291"/>
      <c r="MV36" s="291"/>
      <c r="MW36" s="291"/>
      <c r="MX36" s="291"/>
      <c r="MY36" s="291"/>
      <c r="MZ36" s="291"/>
      <c r="NA36" s="291"/>
      <c r="NB36" s="291"/>
      <c r="NC36" s="291"/>
      <c r="ND36" s="291"/>
      <c r="NE36" s="291"/>
      <c r="NF36" s="291"/>
      <c r="NG36" s="291"/>
      <c r="NH36" s="291"/>
      <c r="NI36" s="291"/>
      <c r="NJ36" s="291"/>
      <c r="NK36" s="291"/>
      <c r="NL36" s="291"/>
      <c r="NM36" s="291"/>
      <c r="NN36" s="291"/>
      <c r="NO36" s="291"/>
      <c r="NP36" s="291"/>
      <c r="NQ36" s="291"/>
      <c r="NR36" s="291"/>
      <c r="NS36" s="291"/>
      <c r="NT36" s="291"/>
      <c r="NU36" s="291"/>
      <c r="NV36" s="291"/>
      <c r="NW36" s="291"/>
      <c r="NX36" s="291"/>
      <c r="NY36" s="291"/>
      <c r="NZ36" s="291"/>
      <c r="OA36" s="291"/>
      <c r="OB36" s="291"/>
      <c r="OC36" s="291"/>
      <c r="OD36" s="291"/>
    </row>
    <row r="37" spans="1:394" s="17" customFormat="1" ht="12" customHeight="1">
      <c r="A37" s="285" t="s">
        <v>185</v>
      </c>
      <c r="B37" s="385"/>
      <c r="C37" s="323"/>
      <c r="D37" s="560" t="s">
        <v>294</v>
      </c>
      <c r="E37" s="210"/>
      <c r="F37" s="210"/>
      <c r="G37" s="560" t="s">
        <v>294</v>
      </c>
      <c r="H37" s="171"/>
      <c r="I37" s="210"/>
      <c r="J37" s="560" t="s">
        <v>294</v>
      </c>
      <c r="K37" s="210"/>
      <c r="L37" s="210"/>
      <c r="M37" s="560" t="s">
        <v>294</v>
      </c>
      <c r="N37" s="210"/>
      <c r="O37" s="210"/>
      <c r="P37" s="582" t="s">
        <v>294</v>
      </c>
      <c r="Q37" s="171"/>
      <c r="R37" s="210"/>
      <c r="S37" s="560" t="s">
        <v>294</v>
      </c>
      <c r="T37" s="171"/>
      <c r="U37" s="210"/>
      <c r="V37" s="560" t="s">
        <v>294</v>
      </c>
      <c r="W37" s="210"/>
      <c r="X37" s="210"/>
      <c r="Y37" s="478" t="s">
        <v>294</v>
      </c>
      <c r="Z37" s="171"/>
      <c r="AA37" s="210"/>
      <c r="AB37" s="560" t="s">
        <v>294</v>
      </c>
      <c r="AC37" s="210"/>
      <c r="AD37" s="210"/>
      <c r="AE37" s="468"/>
      <c r="AF37" s="171"/>
      <c r="AG37" s="210"/>
      <c r="AH37" s="468"/>
      <c r="AI37" s="171"/>
      <c r="AJ37" s="210"/>
      <c r="AK37" s="560" t="s">
        <v>294</v>
      </c>
      <c r="AL37" s="210"/>
      <c r="AM37" s="210"/>
      <c r="AN37" s="478"/>
      <c r="AO37" s="171"/>
      <c r="AP37" s="321" t="str">
        <f t="shared" si="3"/>
        <v>Vehicle Schedule @ MPW</v>
      </c>
      <c r="AQ37" s="386"/>
      <c r="AR37" s="387"/>
      <c r="AS37" s="478" t="s">
        <v>294</v>
      </c>
      <c r="AT37" s="210"/>
      <c r="AU37" s="357"/>
      <c r="AV37" s="486"/>
      <c r="AW37" s="171"/>
      <c r="AX37" s="357"/>
      <c r="AY37" s="478" t="s">
        <v>294</v>
      </c>
      <c r="AZ37" s="210"/>
      <c r="BA37" s="357"/>
      <c r="BB37" s="478" t="s">
        <v>294</v>
      </c>
      <c r="BC37" s="210"/>
      <c r="BD37" s="357"/>
      <c r="BE37" s="478" t="s">
        <v>294</v>
      </c>
      <c r="BF37" s="210"/>
      <c r="BG37" s="357"/>
      <c r="BH37" s="478"/>
      <c r="BI37" s="210"/>
      <c r="BJ37" s="357"/>
      <c r="BK37" s="325"/>
      <c r="BL37" s="440"/>
      <c r="BM37" s="357"/>
      <c r="BN37" s="325"/>
      <c r="BO37" s="440"/>
      <c r="BP37" s="357"/>
      <c r="BQ37" s="478" t="s">
        <v>294</v>
      </c>
      <c r="BR37" s="440"/>
      <c r="BS37" s="357"/>
      <c r="BT37" s="486"/>
      <c r="BU37" s="576"/>
      <c r="BV37" s="357"/>
      <c r="BW37" s="478" t="s">
        <v>294</v>
      </c>
      <c r="BX37" s="440"/>
      <c r="BY37" s="357"/>
      <c r="BZ37" s="478" t="s">
        <v>294</v>
      </c>
      <c r="CA37" s="440"/>
      <c r="CB37" s="357"/>
      <c r="CC37" s="291"/>
      <c r="EG37" s="291"/>
      <c r="EH37" s="291"/>
      <c r="EI37" s="291"/>
      <c r="EJ37" s="291"/>
      <c r="EK37" s="291"/>
      <c r="EL37" s="291"/>
      <c r="EM37" s="291"/>
      <c r="EN37" s="291"/>
      <c r="EO37" s="291"/>
      <c r="EP37" s="291"/>
      <c r="EQ37" s="291"/>
      <c r="ER37" s="291"/>
      <c r="ES37" s="291"/>
      <c r="ET37" s="291"/>
      <c r="EU37" s="291"/>
      <c r="EV37" s="291"/>
      <c r="EW37" s="291"/>
      <c r="EX37" s="291"/>
      <c r="FA37" s="291"/>
      <c r="FB37" s="291"/>
      <c r="FC37" s="291"/>
      <c r="FD37" s="291"/>
      <c r="FE37" s="291"/>
      <c r="FF37" s="291"/>
      <c r="FG37" s="291"/>
      <c r="FH37" s="291"/>
      <c r="FI37" s="291"/>
      <c r="FJ37" s="291"/>
      <c r="FK37" s="291"/>
      <c r="FL37" s="291"/>
      <c r="FM37" s="291"/>
      <c r="FN37" s="291"/>
      <c r="FO37" s="291"/>
      <c r="FP37" s="291"/>
      <c r="FQ37" s="291"/>
      <c r="FR37" s="291"/>
      <c r="FS37" s="291"/>
      <c r="FT37" s="291"/>
      <c r="FU37" s="291"/>
      <c r="FV37" s="291"/>
      <c r="FW37" s="291"/>
      <c r="FX37" s="291"/>
      <c r="FY37" s="291"/>
      <c r="FZ37" s="291"/>
      <c r="GA37" s="291"/>
      <c r="GB37" s="291"/>
      <c r="GC37" s="291"/>
      <c r="GD37" s="291"/>
      <c r="GE37" s="291"/>
      <c r="GF37" s="291"/>
      <c r="GG37" s="291"/>
      <c r="GH37" s="291"/>
      <c r="GI37" s="291"/>
      <c r="GJ37" s="291"/>
      <c r="GK37" s="291"/>
      <c r="GL37" s="291"/>
      <c r="GM37" s="291"/>
      <c r="GN37" s="291"/>
      <c r="GO37" s="291"/>
      <c r="GP37" s="291"/>
      <c r="GQ37" s="291"/>
      <c r="GR37" s="291"/>
      <c r="GS37" s="291"/>
      <c r="GT37" s="291"/>
      <c r="GU37" s="291"/>
      <c r="GV37" s="291"/>
      <c r="GW37" s="291"/>
      <c r="GX37" s="291"/>
      <c r="GY37" s="291"/>
      <c r="GZ37" s="291"/>
      <c r="HA37" s="291"/>
      <c r="HB37" s="291"/>
      <c r="HC37" s="291"/>
      <c r="HD37" s="291"/>
      <c r="HE37" s="291"/>
      <c r="HF37" s="291"/>
      <c r="HG37" s="291"/>
      <c r="HH37" s="291"/>
      <c r="HI37" s="291"/>
      <c r="HJ37" s="291"/>
      <c r="HK37" s="291"/>
      <c r="HL37" s="291"/>
      <c r="HM37" s="291"/>
      <c r="HN37" s="291"/>
      <c r="HO37" s="291"/>
      <c r="HP37" s="291"/>
      <c r="HQ37" s="291"/>
      <c r="HR37" s="291"/>
      <c r="HS37" s="291"/>
      <c r="HT37" s="291"/>
      <c r="HU37" s="291"/>
      <c r="HV37" s="291"/>
      <c r="HW37" s="291"/>
      <c r="HX37" s="291"/>
      <c r="HY37" s="291"/>
      <c r="HZ37" s="291"/>
      <c r="IA37" s="291"/>
      <c r="IB37" s="291"/>
      <c r="IC37" s="291"/>
      <c r="ID37" s="291"/>
      <c r="IE37" s="291"/>
      <c r="IF37" s="291"/>
      <c r="IG37" s="291"/>
      <c r="IH37" s="291"/>
      <c r="II37" s="291"/>
      <c r="IJ37" s="291"/>
      <c r="IK37" s="291"/>
      <c r="IL37" s="291"/>
      <c r="IM37" s="291"/>
      <c r="IN37" s="291"/>
      <c r="IO37" s="291"/>
      <c r="IP37" s="291"/>
      <c r="IQ37" s="291"/>
      <c r="IR37" s="291"/>
      <c r="IS37" s="291"/>
      <c r="IT37" s="291"/>
      <c r="IU37" s="291"/>
      <c r="IV37" s="291"/>
      <c r="IW37" s="291"/>
      <c r="IX37" s="291"/>
      <c r="IY37" s="291"/>
      <c r="IZ37" s="291"/>
      <c r="JA37" s="291"/>
      <c r="JB37" s="291"/>
      <c r="JC37" s="291"/>
      <c r="JD37" s="291"/>
      <c r="JE37" s="291"/>
      <c r="JF37" s="291"/>
      <c r="JG37" s="291"/>
      <c r="JH37" s="291"/>
      <c r="JI37" s="291"/>
      <c r="JJ37" s="291"/>
      <c r="JK37" s="291"/>
      <c r="JL37" s="291"/>
      <c r="JM37" s="291"/>
      <c r="JN37" s="291"/>
      <c r="JO37" s="291"/>
      <c r="JP37" s="291"/>
      <c r="JQ37" s="291"/>
      <c r="JR37" s="291"/>
      <c r="JS37" s="291"/>
      <c r="JT37" s="291"/>
      <c r="JU37" s="291"/>
      <c r="JV37" s="291"/>
      <c r="JW37" s="291"/>
      <c r="JX37" s="291"/>
      <c r="JY37" s="291"/>
      <c r="JZ37" s="291"/>
      <c r="KA37" s="291"/>
      <c r="KB37" s="291"/>
      <c r="KC37" s="291"/>
      <c r="KD37" s="291"/>
      <c r="KE37" s="291"/>
      <c r="KF37" s="291"/>
      <c r="KG37" s="291"/>
      <c r="KH37" s="291"/>
      <c r="KI37" s="291"/>
      <c r="KJ37" s="291"/>
      <c r="KK37" s="291"/>
      <c r="KL37" s="291"/>
      <c r="KM37" s="291"/>
      <c r="KN37" s="291"/>
      <c r="KO37" s="291"/>
      <c r="KP37" s="291"/>
      <c r="KQ37" s="291"/>
      <c r="KR37" s="291"/>
      <c r="KS37" s="291"/>
      <c r="KT37" s="291"/>
      <c r="KU37" s="291"/>
      <c r="KV37" s="291"/>
      <c r="KW37" s="291"/>
      <c r="KX37" s="291"/>
      <c r="KY37" s="291"/>
      <c r="KZ37" s="291"/>
      <c r="LA37" s="291"/>
      <c r="LB37" s="291"/>
      <c r="LC37" s="291"/>
      <c r="LD37" s="291"/>
      <c r="LE37" s="291"/>
      <c r="LF37" s="291"/>
      <c r="LG37" s="291"/>
      <c r="LH37" s="291"/>
      <c r="LI37" s="291"/>
      <c r="LJ37" s="291"/>
      <c r="LK37" s="291"/>
      <c r="LL37" s="291"/>
      <c r="LM37" s="291"/>
      <c r="LN37" s="291"/>
      <c r="LO37" s="291"/>
      <c r="LP37" s="291"/>
      <c r="LQ37" s="291"/>
      <c r="LR37" s="291"/>
      <c r="LS37" s="291"/>
      <c r="LT37" s="291"/>
      <c r="LU37" s="291"/>
      <c r="LV37" s="291"/>
      <c r="LW37" s="291"/>
      <c r="LX37" s="291"/>
      <c r="LY37" s="291"/>
      <c r="LZ37" s="291"/>
      <c r="MA37" s="291"/>
      <c r="MB37" s="291"/>
      <c r="MC37" s="291"/>
      <c r="MD37" s="291"/>
      <c r="ME37" s="291"/>
      <c r="MF37" s="291"/>
      <c r="MG37" s="291"/>
      <c r="MH37" s="291"/>
      <c r="MI37" s="291"/>
      <c r="MJ37" s="291"/>
      <c r="MK37" s="291"/>
      <c r="ML37" s="291"/>
      <c r="MM37" s="291"/>
      <c r="MN37" s="291"/>
      <c r="MO37" s="291"/>
      <c r="MP37" s="291"/>
      <c r="MQ37" s="291"/>
      <c r="MR37" s="291"/>
      <c r="MS37" s="291"/>
      <c r="MT37" s="291"/>
      <c r="MU37" s="291"/>
      <c r="MV37" s="291"/>
      <c r="MW37" s="291"/>
      <c r="MX37" s="291"/>
      <c r="MY37" s="291"/>
      <c r="MZ37" s="291"/>
      <c r="NA37" s="291"/>
      <c r="NB37" s="291"/>
      <c r="NC37" s="291"/>
      <c r="ND37" s="291"/>
      <c r="NE37" s="291"/>
      <c r="NF37" s="291"/>
      <c r="NG37" s="291"/>
      <c r="NH37" s="291"/>
      <c r="NI37" s="291"/>
      <c r="NJ37" s="291"/>
      <c r="NK37" s="291"/>
      <c r="NL37" s="291"/>
      <c r="NM37" s="291"/>
      <c r="NN37" s="291"/>
      <c r="NO37" s="291"/>
      <c r="NP37" s="291"/>
      <c r="NQ37" s="291"/>
      <c r="NR37" s="291"/>
      <c r="NS37" s="291"/>
      <c r="NT37" s="291"/>
      <c r="NU37" s="291"/>
      <c r="NV37" s="291"/>
      <c r="NW37" s="291"/>
      <c r="NX37" s="291"/>
      <c r="NY37" s="291"/>
      <c r="NZ37" s="291"/>
      <c r="OA37" s="291"/>
      <c r="OB37" s="291"/>
      <c r="OC37" s="291"/>
      <c r="OD37" s="291"/>
    </row>
    <row r="38" spans="1:394" s="20" customFormat="1" ht="12" customHeight="1">
      <c r="A38" s="287" t="s">
        <v>216</v>
      </c>
      <c r="B38" s="109" t="s">
        <v>154</v>
      </c>
      <c r="C38" s="12"/>
      <c r="D38" s="293">
        <v>50</v>
      </c>
      <c r="E38" s="14"/>
      <c r="F38" s="289"/>
      <c r="G38" s="293">
        <v>50</v>
      </c>
      <c r="H38" s="14"/>
      <c r="I38" s="289"/>
      <c r="J38" s="293">
        <v>48</v>
      </c>
      <c r="K38" s="14"/>
      <c r="L38" s="289"/>
      <c r="M38" s="293">
        <v>39</v>
      </c>
      <c r="N38" s="14"/>
      <c r="O38" s="289"/>
      <c r="P38" s="293">
        <v>40</v>
      </c>
      <c r="Q38" s="14"/>
      <c r="R38" s="289"/>
      <c r="S38" s="293">
        <v>40</v>
      </c>
      <c r="T38" s="14"/>
      <c r="U38" s="289"/>
      <c r="V38" s="293">
        <v>40</v>
      </c>
      <c r="W38" s="293"/>
      <c r="X38" s="289"/>
      <c r="Y38" s="293">
        <v>39</v>
      </c>
      <c r="Z38" s="293"/>
      <c r="AA38" s="289"/>
      <c r="AB38" s="293">
        <v>40</v>
      </c>
      <c r="AC38" s="293"/>
      <c r="AD38" s="289"/>
      <c r="AE38" s="293">
        <v>40</v>
      </c>
      <c r="AF38" s="293"/>
      <c r="AG38" s="289"/>
      <c r="AH38" s="293">
        <v>40</v>
      </c>
      <c r="AI38" s="293"/>
      <c r="AJ38" s="289"/>
      <c r="AK38" s="586">
        <v>39</v>
      </c>
      <c r="AL38" s="293"/>
      <c r="AM38" s="289"/>
      <c r="AN38" s="586">
        <v>40</v>
      </c>
      <c r="AO38" s="14"/>
      <c r="AP38" s="172" t="str">
        <f t="shared" ref="AP38:AP39" si="4">A38</f>
        <v>Motorhome - Det. Chassis Plant</v>
      </c>
      <c r="AQ38" s="167" t="s">
        <v>154</v>
      </c>
      <c r="AR38" s="376"/>
      <c r="AS38" s="14">
        <v>40</v>
      </c>
      <c r="AT38" s="14"/>
      <c r="AU38" s="296"/>
      <c r="AV38" s="14">
        <v>24</v>
      </c>
      <c r="AW38" s="14"/>
      <c r="AX38" s="296"/>
      <c r="AY38" s="586">
        <v>39</v>
      </c>
      <c r="AZ38" s="293"/>
      <c r="BA38" s="289"/>
      <c r="BB38" s="586">
        <v>40</v>
      </c>
      <c r="BC38" s="14"/>
      <c r="BD38" s="296"/>
      <c r="BE38" s="14">
        <v>40</v>
      </c>
      <c r="BF38" s="14"/>
      <c r="BG38" s="296"/>
      <c r="BH38" s="14">
        <v>40</v>
      </c>
      <c r="BI38" s="14"/>
      <c r="BJ38" s="296"/>
      <c r="BK38" s="293" t="s">
        <v>116</v>
      </c>
      <c r="BL38" s="293"/>
      <c r="BM38" s="296"/>
      <c r="BN38" s="14">
        <v>31</v>
      </c>
      <c r="BO38" s="14"/>
      <c r="BP38" s="296"/>
      <c r="BQ38" s="14">
        <v>40</v>
      </c>
      <c r="BR38" s="14"/>
      <c r="BS38" s="296"/>
      <c r="BT38" s="14">
        <v>32</v>
      </c>
      <c r="BU38" s="14"/>
      <c r="BV38" s="296"/>
      <c r="BW38" s="14">
        <v>40</v>
      </c>
      <c r="BX38" s="14"/>
      <c r="BY38" s="296"/>
      <c r="BZ38" s="14">
        <v>39</v>
      </c>
      <c r="CA38" s="14"/>
      <c r="CB38" s="296"/>
      <c r="CC38" s="292"/>
      <c r="EG38" s="292"/>
      <c r="EH38" s="292"/>
      <c r="EI38" s="292"/>
      <c r="EJ38" s="292"/>
      <c r="EK38" s="292"/>
      <c r="EL38" s="292"/>
      <c r="EM38" s="292"/>
      <c r="EN38" s="292"/>
      <c r="EO38" s="292"/>
      <c r="EP38" s="292"/>
      <c r="EQ38" s="292"/>
      <c r="ER38" s="292"/>
      <c r="ES38" s="292"/>
      <c r="ET38" s="292"/>
      <c r="EU38" s="292"/>
      <c r="EV38" s="292"/>
      <c r="EW38" s="292"/>
      <c r="EX38" s="292"/>
      <c r="FA38" s="292"/>
      <c r="FB38" s="292"/>
      <c r="FC38" s="292"/>
      <c r="FD38" s="292"/>
      <c r="FE38" s="292"/>
      <c r="FF38" s="292"/>
      <c r="FG38" s="292"/>
      <c r="FH38" s="292"/>
      <c r="FI38" s="292"/>
      <c r="FJ38" s="292"/>
      <c r="FK38" s="292"/>
      <c r="FL38" s="292"/>
      <c r="FM38" s="292"/>
      <c r="FN38" s="292"/>
      <c r="FO38" s="292"/>
      <c r="FP38" s="292"/>
      <c r="FQ38" s="292"/>
      <c r="FR38" s="292"/>
      <c r="FS38" s="292"/>
      <c r="FT38" s="292"/>
      <c r="FU38" s="292"/>
      <c r="FV38" s="292"/>
      <c r="FW38" s="292"/>
      <c r="FX38" s="292"/>
      <c r="FY38" s="292"/>
      <c r="FZ38" s="292"/>
      <c r="GA38" s="292"/>
      <c r="GB38" s="292"/>
      <c r="GC38" s="292"/>
      <c r="GD38" s="292"/>
      <c r="GE38" s="292"/>
      <c r="GF38" s="292"/>
      <c r="GG38" s="292"/>
      <c r="GH38" s="292"/>
      <c r="GI38" s="292"/>
      <c r="GJ38" s="292"/>
      <c r="GK38" s="292"/>
      <c r="GL38" s="292"/>
      <c r="GM38" s="292"/>
      <c r="GN38" s="292"/>
      <c r="GO38" s="292"/>
      <c r="GP38" s="292"/>
      <c r="GQ38" s="292"/>
      <c r="GR38" s="292"/>
      <c r="GS38" s="292"/>
      <c r="GT38" s="292"/>
      <c r="GU38" s="292"/>
      <c r="GV38" s="292"/>
      <c r="GW38" s="292"/>
      <c r="GX38" s="292"/>
      <c r="GY38" s="292"/>
      <c r="GZ38" s="292"/>
      <c r="HA38" s="292"/>
      <c r="HB38" s="292"/>
      <c r="HC38" s="292"/>
      <c r="HD38" s="292"/>
      <c r="HE38" s="292"/>
      <c r="HF38" s="292"/>
      <c r="HG38" s="292"/>
      <c r="HH38" s="292"/>
      <c r="HI38" s="292"/>
      <c r="HJ38" s="292"/>
      <c r="HK38" s="292"/>
      <c r="HL38" s="292"/>
      <c r="HM38" s="292"/>
      <c r="HN38" s="292"/>
      <c r="HO38" s="292"/>
      <c r="HP38" s="292"/>
      <c r="HQ38" s="292"/>
      <c r="HR38" s="292"/>
      <c r="HS38" s="292"/>
      <c r="HT38" s="292"/>
      <c r="HU38" s="292"/>
      <c r="HV38" s="292"/>
      <c r="HW38" s="292"/>
      <c r="HX38" s="292"/>
      <c r="HY38" s="292"/>
      <c r="HZ38" s="292"/>
      <c r="IA38" s="292"/>
      <c r="IB38" s="292"/>
      <c r="IC38" s="292"/>
      <c r="ID38" s="292"/>
      <c r="IE38" s="292"/>
      <c r="IF38" s="292"/>
      <c r="IG38" s="292"/>
      <c r="IH38" s="292"/>
      <c r="II38" s="292"/>
      <c r="IJ38" s="292"/>
      <c r="IK38" s="292"/>
      <c r="IL38" s="292"/>
      <c r="IM38" s="292"/>
      <c r="IN38" s="292"/>
      <c r="IO38" s="292"/>
      <c r="IP38" s="292"/>
      <c r="IQ38" s="292"/>
      <c r="IR38" s="292"/>
      <c r="IS38" s="292"/>
      <c r="IT38" s="292"/>
      <c r="IU38" s="292"/>
      <c r="IV38" s="292"/>
      <c r="IW38" s="292"/>
      <c r="IX38" s="292"/>
      <c r="IY38" s="292"/>
      <c r="IZ38" s="292"/>
      <c r="JA38" s="292"/>
      <c r="JB38" s="292"/>
      <c r="JC38" s="292"/>
      <c r="JD38" s="292"/>
      <c r="JE38" s="292"/>
      <c r="JF38" s="292"/>
      <c r="JG38" s="292"/>
      <c r="JH38" s="292"/>
      <c r="JI38" s="292"/>
      <c r="JJ38" s="292"/>
      <c r="JK38" s="292"/>
      <c r="JL38" s="292"/>
      <c r="JM38" s="292"/>
      <c r="JN38" s="292"/>
      <c r="JO38" s="292"/>
      <c r="JP38" s="292"/>
      <c r="JQ38" s="292"/>
      <c r="JR38" s="292"/>
      <c r="JS38" s="292"/>
      <c r="JT38" s="292"/>
      <c r="JU38" s="292"/>
      <c r="JV38" s="292"/>
      <c r="JW38" s="292"/>
      <c r="JX38" s="292"/>
      <c r="JY38" s="292"/>
      <c r="JZ38" s="292"/>
      <c r="KA38" s="292"/>
      <c r="KB38" s="292"/>
      <c r="KC38" s="292"/>
      <c r="KD38" s="292"/>
      <c r="KE38" s="292"/>
      <c r="KF38" s="292"/>
      <c r="KG38" s="292"/>
      <c r="KH38" s="292"/>
      <c r="KI38" s="292"/>
      <c r="KJ38" s="292"/>
      <c r="KK38" s="292"/>
      <c r="KL38" s="292"/>
      <c r="KM38" s="292"/>
      <c r="KN38" s="292"/>
      <c r="KO38" s="292"/>
      <c r="KP38" s="292"/>
      <c r="KQ38" s="292"/>
      <c r="KR38" s="292"/>
      <c r="KS38" s="292"/>
      <c r="KT38" s="292"/>
      <c r="KU38" s="292"/>
      <c r="KV38" s="292"/>
      <c r="KW38" s="292"/>
      <c r="KX38" s="292"/>
      <c r="KY38" s="292"/>
      <c r="KZ38" s="292"/>
      <c r="LA38" s="292"/>
      <c r="LB38" s="292"/>
      <c r="LC38" s="292"/>
      <c r="LD38" s="292"/>
      <c r="LE38" s="292"/>
      <c r="LF38" s="292"/>
      <c r="LG38" s="292"/>
      <c r="LH38" s="292"/>
      <c r="LI38" s="292"/>
      <c r="LJ38" s="292"/>
      <c r="LK38" s="292"/>
      <c r="LL38" s="292"/>
      <c r="LM38" s="292"/>
      <c r="LN38" s="292"/>
      <c r="LO38" s="292"/>
      <c r="LP38" s="292"/>
      <c r="LQ38" s="292"/>
      <c r="LR38" s="292"/>
      <c r="LS38" s="292"/>
      <c r="LT38" s="292"/>
      <c r="LU38" s="292"/>
      <c r="LV38" s="292"/>
      <c r="LW38" s="292"/>
      <c r="LX38" s="292"/>
      <c r="LY38" s="292"/>
      <c r="LZ38" s="292"/>
      <c r="MA38" s="292"/>
      <c r="MB38" s="292"/>
      <c r="MC38" s="292"/>
      <c r="MD38" s="292"/>
      <c r="ME38" s="292"/>
      <c r="MF38" s="292"/>
      <c r="MG38" s="292"/>
      <c r="MH38" s="292"/>
      <c r="MI38" s="292"/>
      <c r="MJ38" s="292"/>
      <c r="MK38" s="292"/>
      <c r="ML38" s="292"/>
      <c r="MM38" s="292"/>
      <c r="MN38" s="292"/>
      <c r="MO38" s="292"/>
      <c r="MP38" s="292"/>
      <c r="MQ38" s="292"/>
      <c r="MR38" s="292"/>
      <c r="MS38" s="292"/>
      <c r="MT38" s="292"/>
      <c r="MU38" s="292"/>
      <c r="MV38" s="292"/>
      <c r="MW38" s="292"/>
      <c r="MX38" s="292"/>
      <c r="MY38" s="292"/>
      <c r="MZ38" s="292"/>
      <c r="NA38" s="292"/>
      <c r="NB38" s="292"/>
      <c r="NC38" s="292"/>
      <c r="ND38" s="292"/>
      <c r="NE38" s="292"/>
      <c r="NF38" s="292"/>
      <c r="NG38" s="292"/>
      <c r="NH38" s="292"/>
      <c r="NI38" s="292"/>
      <c r="NJ38" s="292"/>
      <c r="NK38" s="292"/>
      <c r="NL38" s="292"/>
      <c r="NM38" s="292"/>
      <c r="NN38" s="292"/>
      <c r="NO38" s="292"/>
      <c r="NP38" s="292"/>
      <c r="NQ38" s="292"/>
      <c r="NR38" s="292"/>
      <c r="NS38" s="292"/>
      <c r="NT38" s="292"/>
      <c r="NU38" s="292"/>
      <c r="NV38" s="292"/>
      <c r="NW38" s="292"/>
      <c r="NX38" s="292"/>
      <c r="NY38" s="568"/>
      <c r="NZ38" s="568"/>
      <c r="OA38" s="575"/>
      <c r="OB38" s="575"/>
      <c r="OC38" s="578"/>
      <c r="OD38" s="578"/>
    </row>
    <row r="39" spans="1:394" s="175" customFormat="1" ht="12" customHeight="1">
      <c r="A39" s="314" t="s">
        <v>215</v>
      </c>
      <c r="B39" s="297"/>
      <c r="C39" s="29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313" t="str">
        <f t="shared" si="4"/>
        <v xml:space="preserve">          Matl. Prot.        1S  (5x8)</v>
      </c>
      <c r="AQ39" s="300"/>
      <c r="AR39" s="162"/>
      <c r="AS39" s="14"/>
      <c r="AT39" s="14"/>
      <c r="AU39" s="289"/>
      <c r="AV39" s="14"/>
      <c r="AW39" s="14"/>
      <c r="AX39" s="289"/>
      <c r="AY39" s="14"/>
      <c r="AZ39" s="14"/>
      <c r="BA39" s="289"/>
      <c r="BB39" s="14"/>
      <c r="BC39" s="14"/>
      <c r="BD39" s="289"/>
      <c r="BE39" s="14"/>
      <c r="BF39" s="14"/>
      <c r="BG39" s="289"/>
      <c r="BH39" s="14"/>
      <c r="BI39" s="14"/>
      <c r="BJ39" s="289"/>
      <c r="BK39" s="289"/>
      <c r="BL39" s="289"/>
      <c r="BM39" s="289"/>
      <c r="BN39" s="14"/>
      <c r="BO39" s="14"/>
      <c r="BP39" s="289"/>
      <c r="BQ39" s="14"/>
      <c r="BR39" s="14"/>
      <c r="BS39" s="289"/>
      <c r="BT39" s="14"/>
      <c r="BU39" s="14"/>
      <c r="BV39" s="289"/>
      <c r="BW39" s="14"/>
      <c r="BX39" s="14"/>
      <c r="BY39" s="289"/>
      <c r="BZ39" s="14"/>
      <c r="CA39" s="14"/>
      <c r="CB39" s="289"/>
      <c r="CC39" s="288"/>
      <c r="EG39" s="288"/>
      <c r="EH39" s="288"/>
      <c r="EI39" s="288"/>
      <c r="EJ39" s="288"/>
      <c r="EK39" s="288"/>
      <c r="EL39" s="288"/>
      <c r="EM39" s="288"/>
      <c r="EN39" s="288"/>
      <c r="EO39" s="288"/>
      <c r="EP39" s="288"/>
      <c r="EQ39" s="288"/>
      <c r="ER39" s="288"/>
      <c r="ES39" s="288"/>
      <c r="ET39" s="288"/>
      <c r="EU39" s="288"/>
      <c r="EV39" s="288"/>
      <c r="EW39" s="288"/>
      <c r="EX39" s="288"/>
      <c r="FA39" s="288"/>
      <c r="FB39" s="288"/>
      <c r="FC39" s="288"/>
      <c r="FD39" s="288"/>
      <c r="FE39" s="288"/>
      <c r="FF39" s="288"/>
      <c r="FG39" s="288"/>
      <c r="FH39" s="288"/>
      <c r="FI39" s="288"/>
      <c r="FJ39" s="288"/>
      <c r="FK39" s="288"/>
      <c r="FL39" s="288"/>
      <c r="FM39" s="288"/>
      <c r="FN39" s="288"/>
      <c r="FO39" s="288"/>
      <c r="FP39" s="288"/>
      <c r="FQ39" s="288"/>
      <c r="FR39" s="288"/>
      <c r="FS39" s="288"/>
      <c r="FT39" s="288"/>
      <c r="FU39" s="288"/>
      <c r="FV39" s="288"/>
      <c r="FW39" s="288"/>
      <c r="FX39" s="288"/>
      <c r="FY39" s="288"/>
      <c r="FZ39" s="288"/>
      <c r="GA39" s="288"/>
      <c r="GB39" s="288"/>
      <c r="GC39" s="288"/>
      <c r="GD39" s="288"/>
      <c r="GE39" s="288"/>
      <c r="GF39" s="288"/>
      <c r="GG39" s="288"/>
      <c r="GH39" s="288"/>
      <c r="GI39" s="288"/>
      <c r="GJ39" s="288"/>
      <c r="GK39" s="288"/>
      <c r="GL39" s="288"/>
      <c r="GM39" s="288"/>
      <c r="GN39" s="288"/>
      <c r="GO39" s="288"/>
      <c r="GP39" s="288"/>
      <c r="GQ39" s="288"/>
      <c r="GR39" s="288"/>
      <c r="GS39" s="288"/>
      <c r="GT39" s="288"/>
      <c r="GU39" s="288"/>
      <c r="GV39" s="288"/>
      <c r="GW39" s="288"/>
      <c r="GX39" s="288"/>
      <c r="GY39" s="288"/>
      <c r="GZ39" s="288"/>
      <c r="HA39" s="288"/>
      <c r="HB39" s="288"/>
      <c r="HC39" s="288"/>
      <c r="HD39" s="288"/>
      <c r="HE39" s="288"/>
      <c r="HF39" s="288"/>
      <c r="HG39" s="288"/>
      <c r="HH39" s="288"/>
      <c r="HI39" s="288"/>
      <c r="HJ39" s="288"/>
      <c r="HK39" s="288"/>
      <c r="HL39" s="288"/>
      <c r="HM39" s="288"/>
      <c r="HN39" s="288"/>
      <c r="HO39" s="288"/>
      <c r="HP39" s="288"/>
      <c r="HQ39" s="288"/>
      <c r="HR39" s="288"/>
      <c r="HS39" s="288"/>
      <c r="HT39" s="288"/>
      <c r="HU39" s="288"/>
      <c r="HV39" s="288"/>
      <c r="HW39" s="288"/>
      <c r="HX39" s="288"/>
      <c r="HY39" s="288"/>
      <c r="HZ39" s="288"/>
      <c r="IA39" s="288"/>
      <c r="IB39" s="288"/>
      <c r="IC39" s="288"/>
      <c r="ID39" s="288"/>
      <c r="IE39" s="288"/>
      <c r="IF39" s="288"/>
      <c r="IG39" s="288"/>
      <c r="IH39" s="288"/>
      <c r="II39" s="288"/>
      <c r="IJ39" s="288"/>
      <c r="IK39" s="288"/>
      <c r="IL39" s="288"/>
      <c r="IM39" s="288"/>
      <c r="IN39" s="288"/>
      <c r="IO39" s="288"/>
      <c r="IP39" s="288"/>
      <c r="IQ39" s="288"/>
      <c r="IR39" s="288"/>
      <c r="IS39" s="288"/>
      <c r="IT39" s="288"/>
      <c r="IU39" s="288"/>
      <c r="IV39" s="288"/>
      <c r="IW39" s="288"/>
      <c r="IX39" s="288"/>
      <c r="IY39" s="288"/>
      <c r="IZ39" s="288"/>
      <c r="JA39" s="288"/>
      <c r="JB39" s="288"/>
      <c r="JC39" s="288"/>
      <c r="JD39" s="288"/>
      <c r="JE39" s="288"/>
      <c r="JF39" s="288"/>
      <c r="JG39" s="288"/>
      <c r="JH39" s="288"/>
      <c r="JI39" s="288"/>
      <c r="JJ39" s="288"/>
      <c r="JK39" s="288"/>
      <c r="JL39" s="288"/>
      <c r="JM39" s="288"/>
      <c r="JN39" s="288"/>
      <c r="JO39" s="288"/>
      <c r="JP39" s="288"/>
      <c r="JQ39" s="288"/>
      <c r="JR39" s="288"/>
      <c r="JS39" s="288"/>
      <c r="JT39" s="288"/>
      <c r="JU39" s="288"/>
      <c r="JV39" s="288"/>
      <c r="JW39" s="288"/>
      <c r="JX39" s="288"/>
      <c r="JY39" s="288"/>
      <c r="JZ39" s="288"/>
      <c r="KA39" s="288"/>
      <c r="KB39" s="288"/>
      <c r="KC39" s="288"/>
      <c r="KD39" s="288"/>
      <c r="KE39" s="288"/>
      <c r="KF39" s="288"/>
      <c r="KG39" s="288"/>
      <c r="KH39" s="288"/>
      <c r="KI39" s="288"/>
      <c r="KJ39" s="288"/>
      <c r="KK39" s="288"/>
      <c r="KL39" s="288"/>
      <c r="KM39" s="288"/>
      <c r="KN39" s="288"/>
      <c r="KO39" s="288"/>
      <c r="KP39" s="288"/>
      <c r="KQ39" s="288"/>
      <c r="KR39" s="288"/>
      <c r="KS39" s="288"/>
      <c r="KT39" s="288"/>
      <c r="KU39" s="288"/>
      <c r="KV39" s="288"/>
      <c r="KW39" s="288"/>
      <c r="KX39" s="288"/>
      <c r="KY39" s="288"/>
      <c r="KZ39" s="288"/>
      <c r="LA39" s="288"/>
      <c r="LB39" s="288"/>
      <c r="LC39" s="288"/>
      <c r="LD39" s="288"/>
      <c r="LE39" s="288"/>
      <c r="LF39" s="288"/>
      <c r="LG39" s="288"/>
      <c r="LH39" s="288"/>
      <c r="LI39" s="288"/>
      <c r="LJ39" s="288"/>
      <c r="LK39" s="288"/>
      <c r="LL39" s="288"/>
      <c r="LM39" s="288"/>
      <c r="LN39" s="288"/>
      <c r="LO39" s="288"/>
      <c r="LP39" s="288"/>
      <c r="LQ39" s="288"/>
      <c r="LR39" s="288"/>
      <c r="LS39" s="288"/>
      <c r="LT39" s="288"/>
      <c r="LU39" s="288"/>
      <c r="LV39" s="288"/>
      <c r="LW39" s="288"/>
      <c r="LX39" s="288"/>
      <c r="LY39" s="288"/>
      <c r="LZ39" s="288"/>
      <c r="MA39" s="288"/>
      <c r="MB39" s="288"/>
      <c r="MC39" s="288"/>
      <c r="MD39" s="288"/>
      <c r="ME39" s="288"/>
      <c r="MF39" s="288"/>
      <c r="MG39" s="288"/>
      <c r="MH39" s="288"/>
      <c r="MI39" s="288"/>
      <c r="MJ39" s="288"/>
      <c r="MK39" s="288"/>
      <c r="ML39" s="288"/>
      <c r="MM39" s="288"/>
      <c r="MN39" s="288"/>
      <c r="MO39" s="288"/>
      <c r="MP39" s="288"/>
      <c r="MQ39" s="288"/>
      <c r="MR39" s="288"/>
      <c r="MS39" s="288"/>
      <c r="MT39" s="288"/>
      <c r="MU39" s="288"/>
      <c r="MV39" s="288"/>
      <c r="MW39" s="288"/>
      <c r="MX39" s="288"/>
      <c r="MY39" s="288"/>
      <c r="MZ39" s="288"/>
      <c r="NA39" s="288"/>
      <c r="NB39" s="288"/>
      <c r="NC39" s="288"/>
      <c r="ND39" s="288"/>
      <c r="NE39" s="288"/>
      <c r="NF39" s="288"/>
      <c r="NG39" s="288"/>
      <c r="NH39" s="288"/>
      <c r="NI39" s="288"/>
      <c r="NJ39" s="288"/>
      <c r="NK39" s="288"/>
      <c r="NL39" s="288"/>
      <c r="NM39" s="288"/>
      <c r="NN39" s="288"/>
      <c r="NO39" s="288"/>
      <c r="NP39" s="288"/>
      <c r="NQ39" s="288"/>
      <c r="NR39" s="288"/>
      <c r="NS39" s="288"/>
      <c r="NT39" s="288"/>
      <c r="NU39" s="288"/>
      <c r="NV39" s="288"/>
      <c r="NW39" s="288"/>
      <c r="NX39" s="288"/>
      <c r="NY39" s="288"/>
      <c r="NZ39" s="288"/>
      <c r="OA39" s="288"/>
      <c r="OB39" s="288"/>
      <c r="OC39" s="288"/>
      <c r="OD39" s="288"/>
    </row>
    <row r="40" spans="1:394" s="291" customFormat="1" ht="12" customHeight="1">
      <c r="A40" s="285" t="s">
        <v>185</v>
      </c>
      <c r="B40" s="155"/>
      <c r="C40" s="46"/>
      <c r="D40" s="210"/>
      <c r="E40" s="309"/>
      <c r="F40" s="349"/>
      <c r="G40" s="210"/>
      <c r="H40" s="309"/>
      <c r="I40" s="349"/>
      <c r="J40" s="210"/>
      <c r="K40" s="210"/>
      <c r="L40" s="349"/>
      <c r="M40" s="309"/>
      <c r="N40" s="309"/>
      <c r="O40" s="349"/>
      <c r="P40" s="210"/>
      <c r="Q40" s="309"/>
      <c r="R40" s="349"/>
      <c r="S40" s="210"/>
      <c r="T40" s="210"/>
      <c r="U40" s="349"/>
      <c r="V40" s="210"/>
      <c r="W40" s="309"/>
      <c r="X40" s="349"/>
      <c r="Y40" s="210"/>
      <c r="Z40" s="210"/>
      <c r="AA40" s="349"/>
      <c r="AB40" s="210"/>
      <c r="AC40" s="309"/>
      <c r="AD40" s="349"/>
      <c r="AE40" s="210"/>
      <c r="AF40" s="309"/>
      <c r="AG40" s="349"/>
      <c r="AH40" s="210"/>
      <c r="AI40" s="309"/>
      <c r="AJ40" s="349"/>
      <c r="AK40" s="210"/>
      <c r="AL40" s="210"/>
      <c r="AM40" s="349"/>
      <c r="AN40" s="210"/>
      <c r="AO40" s="309"/>
      <c r="AP40" s="321" t="str">
        <f>A40</f>
        <v>Vehicle Schedule @ MPW</v>
      </c>
      <c r="AQ40" s="108"/>
      <c r="AR40" s="375"/>
      <c r="AS40" s="210"/>
      <c r="AT40" s="309"/>
      <c r="AU40" s="11"/>
      <c r="AV40" s="309"/>
      <c r="AW40" s="210"/>
      <c r="AX40" s="11"/>
      <c r="AY40" s="210"/>
      <c r="AZ40" s="309"/>
      <c r="BA40" s="11"/>
      <c r="BB40" s="210"/>
      <c r="BC40" s="309"/>
      <c r="BD40" s="11"/>
      <c r="BE40" s="210"/>
      <c r="BF40" s="309"/>
      <c r="BG40" s="11"/>
      <c r="BH40" s="210"/>
      <c r="BI40" s="309"/>
      <c r="BJ40" s="11"/>
      <c r="BK40" s="325"/>
      <c r="BL40" s="440"/>
      <c r="BM40" s="11"/>
      <c r="BN40" s="210"/>
      <c r="BO40" s="309"/>
      <c r="BP40" s="11"/>
      <c r="BQ40" s="210"/>
      <c r="BR40" s="309"/>
      <c r="BS40" s="11"/>
      <c r="BT40" s="210"/>
      <c r="BU40" s="309"/>
      <c r="BV40" s="11"/>
      <c r="BW40" s="210"/>
      <c r="BX40" s="309"/>
      <c r="BY40" s="11"/>
      <c r="BZ40" s="210"/>
      <c r="CA40" s="309"/>
      <c r="CB40" s="11"/>
    </row>
    <row r="41" spans="1:394" s="292" customFormat="1" ht="12" customHeight="1">
      <c r="A41" s="287" t="s">
        <v>132</v>
      </c>
      <c r="B41" s="167" t="s">
        <v>115</v>
      </c>
      <c r="C41" s="47"/>
      <c r="D41" s="14">
        <v>100</v>
      </c>
      <c r="E41" s="456">
        <v>20</v>
      </c>
      <c r="F41" s="289"/>
      <c r="G41" s="14">
        <v>100</v>
      </c>
      <c r="H41" s="456">
        <v>20</v>
      </c>
      <c r="I41" s="289"/>
      <c r="J41" s="14">
        <v>100</v>
      </c>
      <c r="K41" s="456">
        <v>20</v>
      </c>
      <c r="L41" s="289"/>
      <c r="M41" s="293">
        <v>90</v>
      </c>
      <c r="N41" s="456">
        <v>20</v>
      </c>
      <c r="O41" s="289"/>
      <c r="P41" s="14">
        <v>100</v>
      </c>
      <c r="Q41" s="293">
        <v>30</v>
      </c>
      <c r="R41" s="289"/>
      <c r="S41" s="14">
        <v>100</v>
      </c>
      <c r="T41" s="456">
        <v>20</v>
      </c>
      <c r="U41" s="289"/>
      <c r="V41" s="14">
        <v>100</v>
      </c>
      <c r="W41" s="456">
        <v>20</v>
      </c>
      <c r="X41" s="289"/>
      <c r="Y41" s="14">
        <v>100</v>
      </c>
      <c r="Z41" s="456">
        <v>30</v>
      </c>
      <c r="AA41" s="289"/>
      <c r="AB41" s="14">
        <v>100</v>
      </c>
      <c r="AC41" s="456">
        <v>20</v>
      </c>
      <c r="AD41" s="289"/>
      <c r="AE41" s="14">
        <v>100</v>
      </c>
      <c r="AF41" s="293">
        <v>30</v>
      </c>
      <c r="AG41" s="289"/>
      <c r="AH41" s="293">
        <v>100</v>
      </c>
      <c r="AI41" s="293">
        <v>20</v>
      </c>
      <c r="AJ41" s="289"/>
      <c r="AK41" s="293">
        <v>100</v>
      </c>
      <c r="AL41" s="293">
        <v>30</v>
      </c>
      <c r="AM41" s="289"/>
      <c r="AN41" s="293">
        <v>80</v>
      </c>
      <c r="AO41" s="293">
        <v>20</v>
      </c>
      <c r="AP41" s="281" t="str">
        <f>A41</f>
        <v>F150 - Dearborn                 (3C)</v>
      </c>
      <c r="AQ41" s="167" t="s">
        <v>115</v>
      </c>
      <c r="AR41" s="377"/>
      <c r="AS41" s="293">
        <v>100</v>
      </c>
      <c r="AT41" s="293">
        <v>30</v>
      </c>
      <c r="AU41" s="293"/>
      <c r="AV41" s="293">
        <v>70</v>
      </c>
      <c r="AW41" s="293">
        <v>20</v>
      </c>
      <c r="AX41" s="293"/>
      <c r="AY41" s="293">
        <v>100</v>
      </c>
      <c r="AZ41" s="293">
        <v>30</v>
      </c>
      <c r="BA41" s="358"/>
      <c r="BB41" s="14">
        <v>100</v>
      </c>
      <c r="BC41" s="456">
        <v>30</v>
      </c>
      <c r="BD41" s="358"/>
      <c r="BE41" s="14">
        <v>100</v>
      </c>
      <c r="BF41" s="456">
        <v>20</v>
      </c>
      <c r="BG41" s="358"/>
      <c r="BH41" s="14">
        <v>100</v>
      </c>
      <c r="BI41" s="456">
        <v>20</v>
      </c>
      <c r="BJ41" s="358"/>
      <c r="BK41" s="293" t="s">
        <v>116</v>
      </c>
      <c r="BL41" s="293"/>
      <c r="BM41" s="358"/>
      <c r="BN41" s="293">
        <v>78</v>
      </c>
      <c r="BO41" s="293">
        <v>20</v>
      </c>
      <c r="BP41" s="358"/>
      <c r="BQ41" s="293">
        <v>100</v>
      </c>
      <c r="BR41" s="293">
        <v>20</v>
      </c>
      <c r="BS41" s="358"/>
      <c r="BT41" s="293">
        <v>80</v>
      </c>
      <c r="BU41" s="293">
        <v>20</v>
      </c>
      <c r="BV41" s="358"/>
      <c r="BW41" s="293">
        <v>100</v>
      </c>
      <c r="BX41" s="293">
        <v>20</v>
      </c>
      <c r="BY41" s="358"/>
      <c r="BZ41" s="293">
        <v>100</v>
      </c>
      <c r="CA41" s="293">
        <v>20</v>
      </c>
      <c r="CB41" s="358"/>
      <c r="CF41" s="111"/>
      <c r="CG41" s="291"/>
      <c r="NY41" s="568"/>
      <c r="NZ41" s="568"/>
      <c r="OA41" s="575"/>
      <c r="OB41" s="575"/>
      <c r="OC41" s="578"/>
      <c r="OD41" s="578"/>
    </row>
    <row r="42" spans="1:394" s="292" customFormat="1" ht="12" customHeight="1">
      <c r="A42" s="314" t="s">
        <v>5</v>
      </c>
      <c r="B42" s="109"/>
      <c r="C42" s="47"/>
      <c r="D42" s="14">
        <v>102</v>
      </c>
      <c r="E42" s="289"/>
      <c r="F42" s="289"/>
      <c r="G42" s="14">
        <v>101</v>
      </c>
      <c r="H42" s="14"/>
      <c r="I42" s="14"/>
      <c r="J42" s="14">
        <v>102</v>
      </c>
      <c r="K42" s="289"/>
      <c r="L42" s="289"/>
      <c r="M42" s="289"/>
      <c r="N42" s="289"/>
      <c r="O42" s="289"/>
      <c r="P42" s="289">
        <v>102</v>
      </c>
      <c r="Q42" s="289"/>
      <c r="R42" s="14"/>
      <c r="S42" s="14">
        <v>101</v>
      </c>
      <c r="T42" s="14"/>
      <c r="U42" s="14"/>
      <c r="V42" s="14">
        <v>101</v>
      </c>
      <c r="W42" s="14"/>
      <c r="X42" s="14"/>
      <c r="Y42" s="14">
        <v>101</v>
      </c>
      <c r="Z42" s="14"/>
      <c r="AA42" s="14"/>
      <c r="AB42" s="14">
        <v>102</v>
      </c>
      <c r="AC42" s="14"/>
      <c r="AD42" s="14"/>
      <c r="AE42" s="14">
        <v>101</v>
      </c>
      <c r="AF42" s="14"/>
      <c r="AG42" s="14"/>
      <c r="AH42" s="14">
        <v>101</v>
      </c>
      <c r="AI42" s="14"/>
      <c r="AJ42" s="14"/>
      <c r="AK42" s="14">
        <v>101</v>
      </c>
      <c r="AL42" s="14"/>
      <c r="AM42" s="14"/>
      <c r="AN42" s="14">
        <v>91</v>
      </c>
      <c r="AO42" s="14"/>
      <c r="AP42" s="301" t="str">
        <f>A42</f>
        <v xml:space="preserve">          Matl. Prot.</v>
      </c>
      <c r="AQ42" s="206"/>
      <c r="AR42" s="376"/>
      <c r="AS42" s="14">
        <v>101</v>
      </c>
      <c r="AT42" s="289"/>
      <c r="AU42" s="289"/>
      <c r="AV42" s="289"/>
      <c r="AW42" s="289"/>
      <c r="AX42" s="289"/>
      <c r="AY42" s="289">
        <v>101</v>
      </c>
      <c r="AZ42" s="289"/>
      <c r="BA42" s="359"/>
      <c r="BB42" s="14"/>
      <c r="BC42" s="14"/>
      <c r="BD42" s="359"/>
      <c r="BE42" s="14"/>
      <c r="BF42" s="14"/>
      <c r="BG42" s="359"/>
      <c r="BH42" s="14"/>
      <c r="BI42" s="14"/>
      <c r="BJ42" s="359"/>
      <c r="BK42" s="289"/>
      <c r="BL42" s="289"/>
      <c r="BM42" s="359"/>
      <c r="BN42" s="289"/>
      <c r="BO42" s="14">
        <v>30</v>
      </c>
      <c r="BP42" s="359"/>
      <c r="BQ42" s="289"/>
      <c r="BR42" s="289"/>
      <c r="BS42" s="359"/>
      <c r="BT42" s="289"/>
      <c r="BU42" s="289"/>
      <c r="BV42" s="359"/>
      <c r="BW42" s="289"/>
      <c r="BX42" s="289">
        <v>30</v>
      </c>
      <c r="BY42" s="359"/>
      <c r="BZ42" s="289"/>
      <c r="CA42" s="289"/>
      <c r="CB42" s="359"/>
      <c r="CD42" s="111"/>
      <c r="NY42" s="568"/>
      <c r="NZ42" s="568"/>
      <c r="OA42" s="575"/>
      <c r="OB42" s="575"/>
      <c r="OC42" s="578"/>
      <c r="OD42" s="578"/>
    </row>
    <row r="43" spans="1:394" s="291" customFormat="1" ht="12" customHeight="1">
      <c r="A43" s="285" t="s">
        <v>185</v>
      </c>
      <c r="B43" s="155"/>
      <c r="C43" s="46"/>
      <c r="D43" s="210"/>
      <c r="E43" s="210"/>
      <c r="F43" s="289"/>
      <c r="G43" s="309"/>
      <c r="H43" s="309"/>
      <c r="I43" s="289"/>
      <c r="J43" s="309"/>
      <c r="K43" s="309"/>
      <c r="L43" s="289"/>
      <c r="M43" s="309"/>
      <c r="N43" s="309"/>
      <c r="O43" s="289"/>
      <c r="P43" s="309"/>
      <c r="Q43" s="309"/>
      <c r="R43" s="289"/>
      <c r="S43" s="309"/>
      <c r="T43" s="309"/>
      <c r="U43" s="289"/>
      <c r="V43" s="210"/>
      <c r="W43" s="309"/>
      <c r="X43" s="289"/>
      <c r="Y43" s="309"/>
      <c r="Z43" s="309"/>
      <c r="AA43" s="289"/>
      <c r="AB43" s="309"/>
      <c r="AC43" s="309"/>
      <c r="AD43" s="289"/>
      <c r="AE43" s="309"/>
      <c r="AF43" s="309"/>
      <c r="AG43" s="289"/>
      <c r="AH43" s="309"/>
      <c r="AI43" s="309"/>
      <c r="AJ43" s="289"/>
      <c r="AK43" s="309"/>
      <c r="AL43" s="309"/>
      <c r="AM43" s="289"/>
      <c r="AN43" s="309"/>
      <c r="AO43" s="309"/>
      <c r="AP43" s="321" t="str">
        <f>A43</f>
        <v>Vehicle Schedule @ MPW</v>
      </c>
      <c r="AQ43" s="108"/>
      <c r="AR43" s="375"/>
      <c r="AS43" s="309"/>
      <c r="AT43" s="309"/>
      <c r="AU43" s="357"/>
      <c r="AV43" s="309"/>
      <c r="AW43" s="309"/>
      <c r="AX43" s="357"/>
      <c r="AY43" s="309"/>
      <c r="AZ43" s="309"/>
      <c r="BA43" s="357"/>
      <c r="BB43" s="309"/>
      <c r="BC43" s="309"/>
      <c r="BD43" s="357"/>
      <c r="BE43" s="210"/>
      <c r="BF43" s="210"/>
      <c r="BG43" s="357"/>
      <c r="BH43" s="210"/>
      <c r="BI43" s="210"/>
      <c r="BJ43" s="357"/>
      <c r="BK43" s="325"/>
      <c r="BL43" s="440"/>
      <c r="BM43" s="357"/>
      <c r="BN43" s="325"/>
      <c r="BO43" s="440"/>
      <c r="BP43" s="357"/>
      <c r="BQ43" s="325"/>
      <c r="BR43" s="440"/>
      <c r="BS43" s="357"/>
      <c r="BT43" s="325"/>
      <c r="BU43" s="440"/>
      <c r="BV43" s="357"/>
      <c r="BW43" s="325"/>
      <c r="BX43" s="440"/>
      <c r="BY43" s="357"/>
      <c r="BZ43" s="325"/>
      <c r="CA43" s="440"/>
      <c r="CB43" s="357"/>
    </row>
    <row r="44" spans="1:394" s="292" customFormat="1" ht="12" customHeight="1" thickBot="1">
      <c r="A44" s="287" t="s">
        <v>153</v>
      </c>
      <c r="B44" s="167" t="s">
        <v>232</v>
      </c>
      <c r="C44" s="319"/>
      <c r="D44" s="503">
        <v>100</v>
      </c>
      <c r="E44" s="456">
        <v>20</v>
      </c>
      <c r="F44" s="564"/>
      <c r="G44" s="456">
        <v>100</v>
      </c>
      <c r="H44" s="456">
        <v>20</v>
      </c>
      <c r="I44" s="564"/>
      <c r="J44" s="456">
        <v>100</v>
      </c>
      <c r="K44" s="456">
        <v>20</v>
      </c>
      <c r="L44" s="564"/>
      <c r="M44" s="456">
        <v>80</v>
      </c>
      <c r="N44" s="456">
        <v>20</v>
      </c>
      <c r="O44" s="564"/>
      <c r="P44" s="456">
        <v>100</v>
      </c>
      <c r="Q44" s="594">
        <v>30</v>
      </c>
      <c r="R44" s="564"/>
      <c r="S44" s="456">
        <v>100</v>
      </c>
      <c r="T44" s="174">
        <v>20</v>
      </c>
      <c r="U44" s="564"/>
      <c r="V44" s="14">
        <v>100</v>
      </c>
      <c r="W44" s="456">
        <v>20</v>
      </c>
      <c r="X44" s="564"/>
      <c r="Y44" s="293">
        <v>100</v>
      </c>
      <c r="Z44" s="293">
        <v>30</v>
      </c>
      <c r="AA44" s="564"/>
      <c r="AB44" s="456">
        <v>100</v>
      </c>
      <c r="AC44" s="456">
        <v>20</v>
      </c>
      <c r="AD44" s="564"/>
      <c r="AE44" s="456">
        <v>100</v>
      </c>
      <c r="AF44" s="293">
        <v>30</v>
      </c>
      <c r="AG44" s="564"/>
      <c r="AH44" s="456">
        <v>100</v>
      </c>
      <c r="AI44" s="456">
        <v>20</v>
      </c>
      <c r="AJ44" s="564"/>
      <c r="AK44" s="456">
        <v>100</v>
      </c>
      <c r="AL44" s="293">
        <v>30</v>
      </c>
      <c r="AM44" s="564"/>
      <c r="AN44" s="456">
        <v>79</v>
      </c>
      <c r="AO44" s="456">
        <v>20</v>
      </c>
      <c r="AP44" s="441" t="str">
        <f>A44</f>
        <v>F150 - Kansas City             (3C)</v>
      </c>
      <c r="AQ44" s="167" t="s">
        <v>232</v>
      </c>
      <c r="AR44" s="376"/>
      <c r="AS44" s="456">
        <v>100</v>
      </c>
      <c r="AT44" s="456">
        <v>20</v>
      </c>
      <c r="AU44" s="456"/>
      <c r="AV44" s="456">
        <v>60</v>
      </c>
      <c r="AW44" s="456">
        <v>20</v>
      </c>
      <c r="AX44" s="456"/>
      <c r="AY44" s="456">
        <v>100</v>
      </c>
      <c r="AZ44" s="456">
        <v>20</v>
      </c>
      <c r="BA44" s="456"/>
      <c r="BB44" s="456">
        <v>100</v>
      </c>
      <c r="BC44" s="456">
        <v>20</v>
      </c>
      <c r="BD44" s="358"/>
      <c r="BE44" s="14">
        <v>100</v>
      </c>
      <c r="BF44" s="14">
        <v>20</v>
      </c>
      <c r="BG44" s="358"/>
      <c r="BH44" s="14">
        <v>100</v>
      </c>
      <c r="BI44" s="14">
        <v>20</v>
      </c>
      <c r="BJ44" s="358"/>
      <c r="BK44" s="293" t="s">
        <v>116</v>
      </c>
      <c r="BL44" s="293"/>
      <c r="BM44" s="358"/>
      <c r="BN44" s="293">
        <v>78</v>
      </c>
      <c r="BO44" s="293">
        <v>20</v>
      </c>
      <c r="BP44" s="358"/>
      <c r="BQ44" s="293">
        <v>100</v>
      </c>
      <c r="BR44" s="293">
        <v>20</v>
      </c>
      <c r="BS44" s="358"/>
      <c r="BT44" s="293">
        <v>80</v>
      </c>
      <c r="BU44" s="293">
        <v>20</v>
      </c>
      <c r="BV44" s="358"/>
      <c r="BW44" s="293">
        <v>100</v>
      </c>
      <c r="BX44" s="293">
        <v>20</v>
      </c>
      <c r="BY44" s="358"/>
      <c r="BZ44" s="293">
        <v>100</v>
      </c>
      <c r="CA44" s="293">
        <v>20</v>
      </c>
      <c r="CB44" s="358"/>
      <c r="CC44" s="291"/>
      <c r="NY44" s="568"/>
      <c r="NZ44" s="568"/>
      <c r="OA44" s="575"/>
      <c r="OB44" s="575"/>
      <c r="OC44" s="578"/>
      <c r="OD44" s="578"/>
    </row>
    <row r="45" spans="1:394" s="292" customFormat="1" ht="12" customHeight="1">
      <c r="A45" s="317" t="s">
        <v>152</v>
      </c>
      <c r="B45" s="167"/>
      <c r="C45" s="14"/>
      <c r="D45" s="14"/>
      <c r="E45" s="112" t="s">
        <v>246</v>
      </c>
      <c r="F45" s="305"/>
      <c r="G45" s="14"/>
      <c r="H45" s="14"/>
      <c r="I45" s="305"/>
      <c r="J45" s="14"/>
      <c r="K45" s="14"/>
      <c r="L45" s="305"/>
      <c r="M45" s="289"/>
      <c r="N45" s="14"/>
      <c r="O45" s="305"/>
      <c r="P45" s="14"/>
      <c r="Q45" s="14"/>
      <c r="R45" s="305"/>
      <c r="S45" s="14"/>
      <c r="T45" s="14"/>
      <c r="U45" s="305"/>
      <c r="V45" s="14"/>
      <c r="W45" s="14"/>
      <c r="X45" s="305"/>
      <c r="Y45" s="14">
        <v>101</v>
      </c>
      <c r="Z45" s="289"/>
      <c r="AA45" s="305"/>
      <c r="AB45" s="14">
        <v>102</v>
      </c>
      <c r="AC45" s="14"/>
      <c r="AD45" s="305"/>
      <c r="AE45" s="14">
        <v>101</v>
      </c>
      <c r="AF45" s="14"/>
      <c r="AG45" s="305"/>
      <c r="AH45" s="14">
        <v>101</v>
      </c>
      <c r="AI45" s="14"/>
      <c r="AJ45" s="305"/>
      <c r="AK45" s="14">
        <v>101</v>
      </c>
      <c r="AL45" s="14"/>
      <c r="AM45" s="305"/>
      <c r="AN45" s="14"/>
      <c r="AO45" s="14"/>
      <c r="AP45" s="301" t="s">
        <v>5</v>
      </c>
      <c r="AQ45" s="206"/>
      <c r="AR45" s="377"/>
      <c r="AS45" s="14">
        <v>101</v>
      </c>
      <c r="AT45" s="14"/>
      <c r="AU45" s="14"/>
      <c r="AV45" s="14"/>
      <c r="AW45" s="14"/>
      <c r="AX45" s="14"/>
      <c r="AY45" s="14">
        <v>101</v>
      </c>
      <c r="AZ45" s="14"/>
      <c r="BA45" s="14"/>
      <c r="BB45" s="14">
        <v>101</v>
      </c>
      <c r="BC45" s="14"/>
      <c r="BD45" s="358"/>
      <c r="BE45" s="14">
        <v>102</v>
      </c>
      <c r="BF45" s="14"/>
      <c r="BG45" s="358"/>
      <c r="BH45" s="14"/>
      <c r="BI45" s="14"/>
      <c r="BJ45" s="358"/>
      <c r="BK45" s="289"/>
      <c r="BL45" s="289"/>
      <c r="BM45" s="358"/>
      <c r="BN45" s="289"/>
      <c r="BO45" s="14">
        <v>30</v>
      </c>
      <c r="BP45" s="358"/>
      <c r="BQ45" s="289"/>
      <c r="BR45" s="289">
        <v>30</v>
      </c>
      <c r="BS45" s="358"/>
      <c r="BT45" s="289"/>
      <c r="BU45" s="289"/>
      <c r="BV45" s="358"/>
      <c r="BW45" s="289"/>
      <c r="BX45" s="289">
        <v>30</v>
      </c>
      <c r="BY45" s="358"/>
      <c r="BZ45" s="289"/>
      <c r="CA45" s="289"/>
      <c r="CB45" s="358"/>
      <c r="NY45" s="568"/>
      <c r="NZ45" s="568"/>
      <c r="OA45" s="575"/>
      <c r="OB45" s="575"/>
      <c r="OC45" s="578"/>
      <c r="OD45" s="578"/>
    </row>
    <row r="46" spans="1:394" s="291" customFormat="1" ht="12" customHeight="1">
      <c r="A46" s="285" t="s">
        <v>185</v>
      </c>
      <c r="B46" s="155"/>
      <c r="C46" s="46"/>
      <c r="D46" s="309"/>
      <c r="E46" s="210"/>
      <c r="F46" s="289"/>
      <c r="G46" s="309"/>
      <c r="H46" s="210"/>
      <c r="I46" s="289"/>
      <c r="J46" s="210"/>
      <c r="K46" s="210"/>
      <c r="L46" s="289"/>
      <c r="M46" s="309"/>
      <c r="N46" s="210"/>
      <c r="O46" s="289"/>
      <c r="P46" s="210"/>
      <c r="Q46" s="210"/>
      <c r="R46" s="289"/>
      <c r="S46" s="210"/>
      <c r="T46" s="210"/>
      <c r="U46" s="289"/>
      <c r="V46" s="309"/>
      <c r="W46" s="210"/>
      <c r="X46" s="289"/>
      <c r="Y46" s="210"/>
      <c r="Z46" s="210"/>
      <c r="AA46" s="289"/>
      <c r="AB46" s="210"/>
      <c r="AC46" s="210"/>
      <c r="AD46" s="289"/>
      <c r="AE46" s="309"/>
      <c r="AF46" s="210"/>
      <c r="AG46" s="289"/>
      <c r="AH46" s="210"/>
      <c r="AI46" s="210"/>
      <c r="AJ46" s="289"/>
      <c r="AK46" s="210"/>
      <c r="AL46" s="210"/>
      <c r="AM46" s="289"/>
      <c r="AN46" s="309"/>
      <c r="AO46" s="210"/>
      <c r="AP46" s="321"/>
      <c r="AQ46" s="108"/>
      <c r="AR46" s="375"/>
      <c r="AS46" s="210"/>
      <c r="AT46" s="210"/>
      <c r="AU46" s="357"/>
      <c r="AV46" s="210"/>
      <c r="AW46" s="210"/>
      <c r="AX46" s="357"/>
      <c r="AY46" s="210"/>
      <c r="AZ46" s="210"/>
      <c r="BA46" s="357"/>
      <c r="BB46" s="210"/>
      <c r="BC46" s="210"/>
      <c r="BD46" s="357"/>
      <c r="BE46" s="210"/>
      <c r="BF46" s="210"/>
      <c r="BG46" s="357"/>
      <c r="BH46" s="210"/>
      <c r="BI46" s="210"/>
      <c r="BJ46" s="357"/>
      <c r="BK46" s="325"/>
      <c r="BL46" s="440"/>
      <c r="BM46" s="357"/>
      <c r="BN46" s="325"/>
      <c r="BO46" s="440"/>
      <c r="BP46" s="357"/>
      <c r="BQ46" s="325"/>
      <c r="BR46" s="440"/>
      <c r="BS46" s="357"/>
      <c r="BT46" s="325"/>
      <c r="BU46" s="440"/>
      <c r="BV46" s="357"/>
      <c r="BW46" s="325"/>
      <c r="BX46" s="440"/>
      <c r="BY46" s="357"/>
      <c r="BZ46" s="325"/>
      <c r="CA46" s="440"/>
      <c r="CB46" s="357"/>
    </row>
    <row r="47" spans="1:394" s="291" customFormat="1" ht="12" customHeight="1" thickBot="1">
      <c r="A47" s="200" t="s">
        <v>172</v>
      </c>
      <c r="B47" s="109" t="s">
        <v>146</v>
      </c>
      <c r="C47" s="319"/>
      <c r="D47" s="615">
        <v>96</v>
      </c>
      <c r="E47" s="523"/>
      <c r="F47" s="523"/>
      <c r="G47" s="615">
        <v>96</v>
      </c>
      <c r="H47" s="523"/>
      <c r="I47" s="523"/>
      <c r="J47" s="546" t="s">
        <v>316</v>
      </c>
      <c r="K47" s="547"/>
      <c r="L47" s="456"/>
      <c r="M47" s="456">
        <v>59</v>
      </c>
      <c r="N47" s="14"/>
      <c r="O47" s="456"/>
      <c r="P47" s="14">
        <v>80</v>
      </c>
      <c r="Q47" s="14"/>
      <c r="R47" s="456"/>
      <c r="S47" s="14">
        <v>80</v>
      </c>
      <c r="T47" s="14"/>
      <c r="U47" s="456"/>
      <c r="V47" s="174" t="s">
        <v>311</v>
      </c>
      <c r="W47" s="14"/>
      <c r="X47" s="456"/>
      <c r="Y47" s="14">
        <v>79</v>
      </c>
      <c r="Z47" s="14"/>
      <c r="AA47" s="456"/>
      <c r="AB47" s="14">
        <v>80</v>
      </c>
      <c r="AC47" s="14"/>
      <c r="AD47" s="456"/>
      <c r="AE47" s="456">
        <v>80</v>
      </c>
      <c r="AF47" s="456"/>
      <c r="AG47" s="456"/>
      <c r="AH47" s="456">
        <v>80</v>
      </c>
      <c r="AI47" s="456"/>
      <c r="AJ47" s="456"/>
      <c r="AK47" s="456">
        <v>80</v>
      </c>
      <c r="AL47" s="456"/>
      <c r="AM47" s="456"/>
      <c r="AN47" s="456">
        <v>79</v>
      </c>
      <c r="AO47" s="456"/>
      <c r="AP47" s="441" t="str">
        <f t="shared" ref="AP47:AP49" si="5">A47</f>
        <v>Transit - Kansas City (2S)</v>
      </c>
      <c r="AQ47" s="167" t="s">
        <v>146</v>
      </c>
      <c r="AR47" s="14"/>
      <c r="AS47" s="456">
        <v>80</v>
      </c>
      <c r="AT47" s="456"/>
      <c r="AU47" s="456"/>
      <c r="AV47" s="456">
        <v>60</v>
      </c>
      <c r="AW47" s="456"/>
      <c r="AX47" s="456"/>
      <c r="AY47" s="456">
        <v>80</v>
      </c>
      <c r="AZ47" s="456"/>
      <c r="BA47" s="456"/>
      <c r="BB47" s="456">
        <v>80</v>
      </c>
      <c r="BC47" s="456"/>
      <c r="BD47" s="456"/>
      <c r="BE47" s="456">
        <v>80</v>
      </c>
      <c r="BF47" s="456"/>
      <c r="BG47" s="456"/>
      <c r="BH47" s="14">
        <v>80</v>
      </c>
      <c r="BI47" s="14"/>
      <c r="BK47" s="293" t="s">
        <v>116</v>
      </c>
      <c r="BL47" s="293"/>
      <c r="BN47" s="293">
        <v>58</v>
      </c>
      <c r="BO47" s="293"/>
      <c r="BQ47" s="293">
        <v>80</v>
      </c>
      <c r="BR47" s="293"/>
      <c r="BT47" s="293">
        <v>60</v>
      </c>
      <c r="BU47" s="293"/>
      <c r="BW47" s="293">
        <v>80</v>
      </c>
      <c r="BX47" s="293"/>
      <c r="BZ47" s="293">
        <v>80</v>
      </c>
      <c r="CA47" s="293"/>
    </row>
    <row r="48" spans="1:394" s="291" customFormat="1" ht="12" customHeight="1">
      <c r="A48" s="318" t="s">
        <v>303</v>
      </c>
      <c r="B48" s="109"/>
      <c r="C48" s="14"/>
      <c r="D48" s="14"/>
      <c r="E48" s="14"/>
      <c r="F48" s="289"/>
      <c r="G48" s="14"/>
      <c r="H48" s="14"/>
      <c r="I48" s="289"/>
      <c r="J48" s="112" t="s">
        <v>245</v>
      </c>
      <c r="K48" s="14" t="s">
        <v>246</v>
      </c>
      <c r="L48" s="289"/>
      <c r="M48" s="289"/>
      <c r="N48" s="14"/>
      <c r="O48" s="289"/>
      <c r="P48" s="14"/>
      <c r="Q48" s="14"/>
      <c r="R48" s="289"/>
      <c r="S48" s="14"/>
      <c r="T48" s="14"/>
      <c r="U48" s="289"/>
      <c r="V48" s="289"/>
      <c r="W48" s="289"/>
      <c r="X48" s="289"/>
      <c r="Y48" s="289"/>
      <c r="Z48" s="289"/>
      <c r="AA48" s="289"/>
      <c r="AB48" s="289"/>
      <c r="AC48" s="289"/>
      <c r="AD48" s="289"/>
      <c r="AE48" s="289"/>
      <c r="AF48" s="14"/>
      <c r="AG48" s="289"/>
      <c r="AH48" s="14"/>
      <c r="AI48" s="14"/>
      <c r="AJ48" s="289"/>
      <c r="AK48" s="14"/>
      <c r="AL48" s="14"/>
      <c r="AM48" s="289"/>
      <c r="AN48" s="14"/>
      <c r="AO48" s="14"/>
      <c r="AP48" s="301" t="s">
        <v>308</v>
      </c>
      <c r="AQ48" s="532"/>
      <c r="AR48" s="14"/>
      <c r="AS48" s="14"/>
      <c r="AT48" s="14"/>
      <c r="AV48" s="14"/>
      <c r="AW48" s="14"/>
      <c r="AY48" s="14"/>
      <c r="AZ48" s="14"/>
      <c r="BB48" s="14"/>
      <c r="BC48" s="14"/>
      <c r="BE48" s="14"/>
      <c r="BF48" s="14"/>
      <c r="BH48" s="14"/>
      <c r="BI48" s="14"/>
      <c r="BK48" s="289"/>
      <c r="BL48" s="289"/>
      <c r="BN48" s="289"/>
      <c r="BO48" s="289"/>
      <c r="BQ48" s="289">
        <f>80+16</f>
        <v>96</v>
      </c>
      <c r="BR48" s="289"/>
      <c r="BT48" s="289"/>
      <c r="BU48" s="289"/>
      <c r="BW48" s="289">
        <v>96</v>
      </c>
      <c r="BX48" s="289"/>
      <c r="BZ48" s="289"/>
      <c r="CA48" s="289"/>
      <c r="CH48" s="110"/>
    </row>
    <row r="49" spans="1:396" s="291" customFormat="1" ht="12" customHeight="1" thickBot="1">
      <c r="A49" s="448" t="s">
        <v>185</v>
      </c>
      <c r="B49" s="449"/>
      <c r="C49" s="450"/>
      <c r="D49" s="451"/>
      <c r="E49" s="451"/>
      <c r="F49" s="396"/>
      <c r="G49" s="451"/>
      <c r="H49" s="451"/>
      <c r="I49" s="396"/>
      <c r="J49" s="451"/>
      <c r="K49" s="451"/>
      <c r="L49" s="396"/>
      <c r="M49" s="451"/>
      <c r="N49" s="451"/>
      <c r="O49" s="396"/>
      <c r="P49" s="451"/>
      <c r="Q49" s="451"/>
      <c r="R49" s="396"/>
      <c r="S49" s="451"/>
      <c r="T49" s="451"/>
      <c r="U49" s="396"/>
      <c r="V49" s="451"/>
      <c r="W49" s="451"/>
      <c r="X49" s="396"/>
      <c r="Y49" s="451"/>
      <c r="Z49" s="451"/>
      <c r="AA49" s="396"/>
      <c r="AB49" s="451"/>
      <c r="AC49" s="451"/>
      <c r="AD49" s="396"/>
      <c r="AE49" s="451"/>
      <c r="AF49" s="451"/>
      <c r="AG49" s="396"/>
      <c r="AH49" s="451"/>
      <c r="AI49" s="451"/>
      <c r="AJ49" s="396"/>
      <c r="AK49" s="451"/>
      <c r="AL49" s="451"/>
      <c r="AM49" s="396"/>
      <c r="AN49" s="451"/>
      <c r="AO49" s="451"/>
      <c r="AP49" s="452" t="str">
        <f t="shared" si="5"/>
        <v>Vehicle Schedule @ MPW</v>
      </c>
      <c r="AQ49" s="453"/>
      <c r="AR49" s="454"/>
      <c r="AS49" s="451"/>
      <c r="AT49" s="451"/>
      <c r="AU49" s="356"/>
      <c r="AV49" s="451"/>
      <c r="AW49" s="451"/>
      <c r="AX49" s="356"/>
      <c r="AY49" s="451"/>
      <c r="AZ49" s="451"/>
      <c r="BA49" s="356"/>
      <c r="BB49" s="451"/>
      <c r="BC49" s="451"/>
      <c r="BD49" s="356"/>
      <c r="BE49" s="451"/>
      <c r="BF49" s="451"/>
      <c r="BG49" s="356"/>
      <c r="BH49" s="451"/>
      <c r="BI49" s="451"/>
      <c r="BJ49" s="451"/>
      <c r="BK49" s="451"/>
      <c r="BL49" s="451"/>
      <c r="BM49" s="356"/>
      <c r="BN49" s="451"/>
      <c r="BO49" s="451"/>
      <c r="BP49" s="356"/>
      <c r="BQ49" s="451"/>
      <c r="BR49" s="451"/>
      <c r="BS49" s="356"/>
      <c r="BT49" s="451"/>
      <c r="BU49" s="451"/>
      <c r="BV49" s="356"/>
      <c r="BW49" s="451"/>
      <c r="BX49" s="451"/>
      <c r="BY49" s="356"/>
      <c r="BZ49" s="451"/>
      <c r="CA49" s="451"/>
      <c r="CB49" s="356"/>
    </row>
    <row r="50" spans="1:396" s="20" customFormat="1" ht="11.5" customHeight="1" thickBot="1">
      <c r="A50" s="442"/>
      <c r="B50" s="443" t="s">
        <v>59</v>
      </c>
      <c r="C50" s="444"/>
      <c r="D50" s="445">
        <v>30</v>
      </c>
      <c r="E50" s="356"/>
      <c r="F50" s="446"/>
      <c r="G50" s="445">
        <v>31</v>
      </c>
      <c r="H50" s="356"/>
      <c r="I50" s="446"/>
      <c r="J50" s="445">
        <v>32</v>
      </c>
      <c r="K50" s="356"/>
      <c r="L50" s="446"/>
      <c r="M50" s="445">
        <v>33</v>
      </c>
      <c r="N50" s="356"/>
      <c r="O50" s="446"/>
      <c r="P50" s="445">
        <v>34</v>
      </c>
      <c r="Q50" s="356"/>
      <c r="R50" s="446"/>
      <c r="S50" s="445">
        <v>35</v>
      </c>
      <c r="T50" s="356"/>
      <c r="U50" s="446"/>
      <c r="V50" s="445">
        <f>S50+1</f>
        <v>36</v>
      </c>
      <c r="W50" s="356"/>
      <c r="X50" s="446"/>
      <c r="Y50" s="445">
        <f>V50+1</f>
        <v>37</v>
      </c>
      <c r="Z50" s="356"/>
      <c r="AA50" s="446"/>
      <c r="AB50" s="445">
        <f>Y50+1</f>
        <v>38</v>
      </c>
      <c r="AC50" s="356"/>
      <c r="AD50" s="446"/>
      <c r="AE50" s="445">
        <f>AB50+1</f>
        <v>39</v>
      </c>
      <c r="AF50" s="356"/>
      <c r="AG50" s="446"/>
      <c r="AH50" s="445">
        <f>AE50+1</f>
        <v>40</v>
      </c>
      <c r="AI50" s="356"/>
      <c r="AJ50" s="446"/>
      <c r="AK50" s="445">
        <f>AH50+1</f>
        <v>41</v>
      </c>
      <c r="AL50" s="356"/>
      <c r="AM50" s="446"/>
      <c r="AN50" s="445">
        <f>AK50+1</f>
        <v>42</v>
      </c>
      <c r="AO50" s="356"/>
      <c r="AP50" s="447"/>
      <c r="AQ50" s="443" t="s">
        <v>59</v>
      </c>
      <c r="AR50" s="446"/>
      <c r="AS50" s="445">
        <f>AN50+1</f>
        <v>43</v>
      </c>
      <c r="AT50" s="356"/>
      <c r="AU50" s="356"/>
      <c r="AV50" s="445">
        <f>AS50+1</f>
        <v>44</v>
      </c>
      <c r="AW50" s="356"/>
      <c r="AX50" s="356"/>
      <c r="AY50" s="445">
        <f>AV50+1</f>
        <v>45</v>
      </c>
      <c r="AZ50" s="356"/>
      <c r="BA50" s="356"/>
      <c r="BB50" s="445">
        <f>AY50+1</f>
        <v>46</v>
      </c>
      <c r="BC50" s="356"/>
      <c r="BD50" s="356"/>
      <c r="BE50" s="445">
        <f>BB50+1</f>
        <v>47</v>
      </c>
      <c r="BF50" s="356"/>
      <c r="BG50" s="356"/>
      <c r="BH50" s="445">
        <f>BE50+1</f>
        <v>48</v>
      </c>
      <c r="BI50" s="356"/>
      <c r="BJ50" s="356"/>
      <c r="BK50" s="445">
        <v>49</v>
      </c>
      <c r="BL50" s="356"/>
      <c r="BM50" s="356"/>
      <c r="BN50" s="445">
        <f>BK50+1</f>
        <v>50</v>
      </c>
      <c r="BO50" s="356"/>
      <c r="BP50" s="356"/>
      <c r="BQ50" s="445">
        <f>BN50+1</f>
        <v>51</v>
      </c>
      <c r="BR50" s="356"/>
      <c r="BS50" s="356"/>
      <c r="BT50" s="445">
        <f>BQ50+1</f>
        <v>52</v>
      </c>
      <c r="BU50" s="356"/>
      <c r="BV50" s="356"/>
      <c r="BW50" s="445">
        <v>1</v>
      </c>
      <c r="BX50" s="356"/>
      <c r="BY50" s="356"/>
      <c r="BZ50" s="445">
        <f>BW50+1</f>
        <v>2</v>
      </c>
      <c r="CA50" s="356"/>
      <c r="CB50" s="356"/>
      <c r="CC50" s="292"/>
      <c r="EG50" s="292"/>
      <c r="EH50" s="292"/>
      <c r="EI50" s="292"/>
      <c r="EJ50" s="292"/>
      <c r="EK50" s="292"/>
      <c r="EL50" s="292"/>
      <c r="EM50" s="292"/>
      <c r="EN50" s="292"/>
      <c r="EO50" s="292"/>
      <c r="EP50" s="292"/>
      <c r="EQ50" s="292"/>
      <c r="ER50" s="292"/>
      <c r="ES50" s="292"/>
      <c r="ET50" s="292"/>
      <c r="EU50" s="292"/>
      <c r="EV50" s="292"/>
      <c r="EW50" s="292"/>
      <c r="EX50" s="292"/>
      <c r="FA50" s="292"/>
      <c r="FB50" s="292"/>
      <c r="FC50" s="292"/>
      <c r="FD50" s="292"/>
      <c r="FE50" s="292"/>
      <c r="FF50" s="292"/>
      <c r="FG50" s="292"/>
      <c r="FH50" s="292"/>
      <c r="FI50" s="292"/>
      <c r="FJ50" s="292"/>
      <c r="FK50" s="292"/>
      <c r="FL50" s="292"/>
      <c r="FM50" s="292"/>
      <c r="FN50" s="292"/>
      <c r="FO50" s="292"/>
      <c r="FP50" s="292"/>
      <c r="FQ50" s="292"/>
      <c r="FR50" s="292"/>
      <c r="FS50" s="292"/>
      <c r="FT50" s="292"/>
      <c r="FU50" s="292"/>
      <c r="FV50" s="292"/>
      <c r="FW50" s="292"/>
      <c r="FX50" s="292"/>
      <c r="FY50" s="292"/>
      <c r="FZ50" s="292"/>
      <c r="GA50" s="292"/>
      <c r="GB50" s="292"/>
      <c r="GC50" s="292"/>
      <c r="GD50" s="292"/>
      <c r="GE50" s="292"/>
      <c r="GF50" s="292"/>
      <c r="GG50" s="292"/>
      <c r="GH50" s="292"/>
      <c r="GI50" s="292"/>
      <c r="GJ50" s="292"/>
      <c r="GK50" s="292"/>
      <c r="GL50" s="292"/>
      <c r="GM50" s="292"/>
      <c r="GN50" s="292"/>
      <c r="GO50" s="292"/>
      <c r="GP50" s="292"/>
      <c r="GQ50" s="292"/>
      <c r="GR50" s="292"/>
      <c r="GS50" s="292"/>
      <c r="GT50" s="292"/>
      <c r="GU50" s="292"/>
      <c r="GV50" s="292"/>
      <c r="GW50" s="292"/>
      <c r="GX50" s="292"/>
      <c r="GY50" s="292"/>
      <c r="GZ50" s="292"/>
      <c r="HA50" s="292"/>
      <c r="HB50" s="292"/>
      <c r="HC50" s="292"/>
      <c r="HD50" s="292"/>
      <c r="HE50" s="292"/>
      <c r="HF50" s="292"/>
      <c r="HG50" s="292"/>
      <c r="HH50" s="292"/>
      <c r="HI50" s="292"/>
      <c r="HJ50" s="292"/>
      <c r="HK50" s="292"/>
      <c r="HL50" s="292"/>
      <c r="HM50" s="292"/>
      <c r="HN50" s="292"/>
      <c r="HO50" s="292"/>
      <c r="HP50" s="292"/>
      <c r="HQ50" s="292"/>
      <c r="HR50" s="292"/>
      <c r="HS50" s="292"/>
      <c r="HT50" s="292"/>
      <c r="HU50" s="292"/>
      <c r="HV50" s="292"/>
      <c r="HW50" s="292"/>
      <c r="HX50" s="292"/>
      <c r="HY50" s="292"/>
      <c r="HZ50" s="292"/>
      <c r="IA50" s="292"/>
      <c r="IB50" s="292"/>
      <c r="IC50" s="292"/>
      <c r="ID50" s="292"/>
      <c r="IE50" s="292"/>
      <c r="IF50" s="292"/>
      <c r="IG50" s="292"/>
      <c r="IH50" s="292"/>
      <c r="II50" s="292"/>
      <c r="IJ50" s="292"/>
      <c r="IK50" s="292"/>
      <c r="IL50" s="292"/>
      <c r="IM50" s="292"/>
      <c r="IN50" s="292"/>
      <c r="IO50" s="292"/>
      <c r="IP50" s="292"/>
      <c r="IQ50" s="292"/>
      <c r="IR50" s="292"/>
      <c r="IS50" s="292"/>
      <c r="IT50" s="292"/>
      <c r="IU50" s="292"/>
      <c r="IV50" s="292"/>
      <c r="IW50" s="292"/>
      <c r="IX50" s="292"/>
      <c r="IY50" s="292"/>
      <c r="IZ50" s="292"/>
      <c r="JA50" s="292"/>
      <c r="JB50" s="292"/>
      <c r="JC50" s="292"/>
      <c r="JD50" s="292"/>
      <c r="JE50" s="292"/>
      <c r="JF50" s="292"/>
      <c r="JG50" s="292"/>
      <c r="JH50" s="292"/>
      <c r="JI50" s="292"/>
      <c r="JJ50" s="292"/>
      <c r="JK50" s="292"/>
      <c r="JL50" s="292"/>
      <c r="JM50" s="292"/>
      <c r="JN50" s="292"/>
      <c r="JO50" s="292"/>
      <c r="JP50" s="292"/>
      <c r="JQ50" s="292"/>
      <c r="JR50" s="292"/>
      <c r="JS50" s="292"/>
      <c r="JT50" s="292"/>
      <c r="JU50" s="292"/>
      <c r="JV50" s="292"/>
      <c r="JW50" s="292"/>
      <c r="JX50" s="292"/>
      <c r="JY50" s="292"/>
      <c r="JZ50" s="292"/>
      <c r="KA50" s="292"/>
      <c r="KB50" s="292"/>
      <c r="KC50" s="292"/>
      <c r="KD50" s="292"/>
      <c r="KE50" s="292"/>
      <c r="KF50" s="292"/>
      <c r="KG50" s="292"/>
      <c r="KH50" s="292"/>
      <c r="KI50" s="292"/>
      <c r="KJ50" s="292"/>
      <c r="KK50" s="292"/>
      <c r="KL50" s="292"/>
      <c r="KM50" s="292"/>
      <c r="KN50" s="292"/>
      <c r="KO50" s="292"/>
      <c r="KP50" s="292"/>
      <c r="KQ50" s="292"/>
      <c r="KR50" s="292"/>
      <c r="KS50" s="292"/>
      <c r="KT50" s="292"/>
      <c r="KU50" s="292"/>
      <c r="KV50" s="292"/>
      <c r="KW50" s="292"/>
      <c r="KX50" s="292"/>
      <c r="KY50" s="292"/>
      <c r="KZ50" s="292"/>
      <c r="LA50" s="292"/>
      <c r="LB50" s="292"/>
      <c r="LC50" s="292"/>
      <c r="LD50" s="292"/>
      <c r="LE50" s="292"/>
      <c r="LF50" s="292"/>
      <c r="LG50" s="292"/>
      <c r="LH50" s="292"/>
      <c r="LI50" s="292"/>
      <c r="LJ50" s="292"/>
      <c r="LK50" s="292"/>
      <c r="LL50" s="292"/>
      <c r="LM50" s="292"/>
      <c r="LN50" s="292"/>
      <c r="LO50" s="292"/>
      <c r="LP50" s="292"/>
      <c r="LQ50" s="292"/>
      <c r="LR50" s="292"/>
      <c r="LS50" s="292"/>
      <c r="LT50" s="292"/>
      <c r="LU50" s="292"/>
      <c r="LV50" s="292"/>
      <c r="LW50" s="292"/>
      <c r="LX50" s="292"/>
      <c r="LY50" s="292"/>
      <c r="LZ50" s="292"/>
      <c r="MA50" s="292"/>
      <c r="MB50" s="292"/>
      <c r="MC50" s="292"/>
      <c r="MD50" s="292"/>
      <c r="ME50" s="292"/>
      <c r="MF50" s="292"/>
      <c r="MG50" s="292"/>
      <c r="MH50" s="292"/>
      <c r="MI50" s="292"/>
      <c r="MJ50" s="292"/>
      <c r="MK50" s="292"/>
      <c r="ML50" s="292"/>
      <c r="MM50" s="292"/>
      <c r="MN50" s="292"/>
      <c r="MO50" s="292"/>
      <c r="MP50" s="292"/>
      <c r="MQ50" s="292"/>
      <c r="MR50" s="292"/>
      <c r="MS50" s="292"/>
      <c r="MT50" s="292"/>
      <c r="MU50" s="292"/>
      <c r="MV50" s="292"/>
      <c r="MW50" s="292"/>
      <c r="MX50" s="292"/>
      <c r="MY50" s="292"/>
      <c r="MZ50" s="292"/>
      <c r="NA50" s="292"/>
      <c r="NB50" s="292"/>
      <c r="NC50" s="292"/>
      <c r="ND50" s="292"/>
      <c r="NE50" s="292"/>
      <c r="NF50" s="292"/>
      <c r="NG50" s="292"/>
      <c r="NH50" s="292"/>
      <c r="NI50" s="292"/>
      <c r="NJ50" s="292"/>
      <c r="NK50" s="292"/>
      <c r="NL50" s="292"/>
      <c r="NM50" s="292"/>
      <c r="NN50" s="292"/>
      <c r="NO50" s="292"/>
      <c r="NP50" s="292"/>
      <c r="NQ50" s="292"/>
      <c r="NR50" s="292"/>
      <c r="NS50" s="292"/>
      <c r="NT50" s="292"/>
      <c r="NU50" s="292"/>
      <c r="NV50" s="292"/>
      <c r="NW50" s="292"/>
      <c r="NX50" s="292"/>
      <c r="NY50" s="568"/>
      <c r="NZ50" s="568"/>
      <c r="OA50" s="575"/>
      <c r="OB50" s="575"/>
      <c r="OC50" s="578"/>
      <c r="OD50" s="578"/>
    </row>
    <row r="51" spans="1:396" s="20" customFormat="1" ht="13.5" customHeight="1">
      <c r="A51" s="18"/>
      <c r="B51" s="57"/>
      <c r="C51" s="57"/>
      <c r="D51" s="12"/>
      <c r="E51" s="14"/>
      <c r="F51" s="57"/>
      <c r="G51" s="12"/>
      <c r="H51" s="14"/>
      <c r="I51" s="57"/>
      <c r="J51" s="12"/>
      <c r="K51" s="14"/>
      <c r="L51" s="92"/>
      <c r="M51" s="12"/>
      <c r="N51" s="14"/>
      <c r="O51" s="57"/>
      <c r="P51" s="12"/>
      <c r="Q51" s="14"/>
      <c r="R51" s="57"/>
      <c r="S51" s="12"/>
      <c r="T51" s="14"/>
      <c r="U51" s="57"/>
      <c r="V51" s="12"/>
      <c r="W51" s="14"/>
      <c r="X51" s="57"/>
      <c r="Y51" s="12"/>
      <c r="Z51" s="14"/>
      <c r="AA51" s="57"/>
      <c r="AB51" s="12"/>
      <c r="AC51" s="14"/>
      <c r="AD51" s="57"/>
      <c r="AE51" s="12"/>
      <c r="AF51" s="112"/>
      <c r="AG51" s="57"/>
      <c r="AH51" s="12"/>
      <c r="AI51" s="14"/>
      <c r="AJ51" s="57"/>
      <c r="AK51" s="12"/>
      <c r="AL51" s="14"/>
      <c r="AM51" s="57"/>
      <c r="AN51" s="12"/>
      <c r="AO51" s="14"/>
      <c r="AS51" s="12"/>
      <c r="AT51" s="14"/>
      <c r="AU51" s="14"/>
      <c r="AV51" s="12"/>
      <c r="AW51" s="14"/>
      <c r="AX51" s="14"/>
      <c r="AY51" s="14"/>
      <c r="AZ51" s="12"/>
      <c r="BA51" s="14"/>
      <c r="BB51" s="12"/>
      <c r="BC51" s="14"/>
      <c r="BD51" s="14"/>
      <c r="BE51" s="12"/>
      <c r="BF51" s="14"/>
      <c r="BG51" s="14"/>
      <c r="BH51" s="12"/>
      <c r="BI51" s="14"/>
      <c r="BJ51" s="14"/>
      <c r="BK51" s="12"/>
      <c r="BL51" s="14"/>
      <c r="BM51" s="14"/>
      <c r="BN51" s="12"/>
      <c r="BO51" s="14"/>
      <c r="BP51" s="14"/>
      <c r="BQ51" s="12"/>
      <c r="BR51" s="14"/>
      <c r="BS51" s="12"/>
      <c r="BT51" s="14"/>
      <c r="BU51" s="14"/>
      <c r="BV51" s="14"/>
      <c r="BW51" s="12"/>
      <c r="BX51" s="14"/>
      <c r="BY51" s="14"/>
      <c r="BZ51" s="14"/>
      <c r="CA51" s="17"/>
      <c r="CB51" s="292"/>
      <c r="EG51" s="292"/>
      <c r="EH51" s="292"/>
      <c r="EI51" s="292"/>
      <c r="EJ51" s="292"/>
      <c r="EK51" s="292"/>
      <c r="EL51" s="292"/>
      <c r="EM51" s="292"/>
      <c r="EN51" s="292"/>
      <c r="EO51" s="292"/>
      <c r="EP51" s="292"/>
      <c r="EQ51" s="292"/>
      <c r="ER51" s="292"/>
      <c r="ES51" s="292"/>
      <c r="ET51" s="292"/>
      <c r="EU51" s="292"/>
      <c r="EV51" s="292"/>
      <c r="EW51" s="292"/>
      <c r="EX51" s="292"/>
      <c r="FA51" s="292"/>
      <c r="FB51" s="292"/>
      <c r="FC51" s="292"/>
      <c r="FD51" s="292"/>
      <c r="FE51" s="292"/>
      <c r="FF51" s="292"/>
      <c r="FG51" s="292"/>
      <c r="FH51" s="292"/>
      <c r="FI51" s="292"/>
      <c r="FJ51" s="292"/>
      <c r="FK51" s="292"/>
      <c r="FL51" s="292"/>
      <c r="FM51" s="292"/>
      <c r="FN51" s="292"/>
      <c r="FO51" s="292"/>
      <c r="FP51" s="292"/>
      <c r="FQ51" s="292"/>
      <c r="FR51" s="292"/>
      <c r="FS51" s="292"/>
      <c r="FT51" s="292"/>
      <c r="FU51" s="292"/>
      <c r="FV51" s="292"/>
      <c r="FW51" s="292"/>
      <c r="FX51" s="292"/>
      <c r="FY51" s="292"/>
      <c r="FZ51" s="292"/>
      <c r="GA51" s="292"/>
      <c r="GB51" s="292"/>
      <c r="GC51" s="292"/>
      <c r="GD51" s="292"/>
      <c r="GE51" s="292"/>
      <c r="GF51" s="292"/>
      <c r="GG51" s="292"/>
      <c r="GH51" s="292"/>
      <c r="GI51" s="292"/>
      <c r="GJ51" s="292"/>
      <c r="GK51" s="292"/>
      <c r="GL51" s="292"/>
      <c r="GM51" s="292"/>
      <c r="GN51" s="292"/>
      <c r="GO51" s="292"/>
      <c r="GP51" s="292"/>
      <c r="GQ51" s="292"/>
      <c r="GR51" s="292"/>
      <c r="GS51" s="292"/>
      <c r="GT51" s="292"/>
      <c r="GU51" s="292"/>
      <c r="GV51" s="292"/>
      <c r="GW51" s="292"/>
      <c r="GX51" s="292"/>
      <c r="GY51" s="292"/>
      <c r="GZ51" s="292"/>
      <c r="HA51" s="292"/>
      <c r="HB51" s="292"/>
      <c r="HC51" s="292"/>
      <c r="HD51" s="292"/>
      <c r="HE51" s="292"/>
      <c r="HF51" s="292"/>
      <c r="HG51" s="292"/>
      <c r="HH51" s="292"/>
      <c r="HI51" s="292"/>
      <c r="HJ51" s="292"/>
      <c r="HK51" s="292"/>
      <c r="HL51" s="292"/>
      <c r="HM51" s="292"/>
      <c r="HN51" s="292"/>
      <c r="HO51" s="292"/>
      <c r="HP51" s="292"/>
      <c r="HQ51" s="292"/>
      <c r="HR51" s="292"/>
      <c r="HS51" s="292"/>
      <c r="HT51" s="292"/>
      <c r="HU51" s="292"/>
      <c r="HV51" s="292"/>
      <c r="HW51" s="292"/>
      <c r="HX51" s="292"/>
      <c r="HY51" s="292"/>
      <c r="HZ51" s="292"/>
      <c r="IA51" s="292"/>
      <c r="IB51" s="292"/>
      <c r="IC51" s="292"/>
      <c r="ID51" s="292"/>
      <c r="IE51" s="292"/>
      <c r="IF51" s="292"/>
      <c r="IG51" s="292"/>
      <c r="IH51" s="292"/>
      <c r="II51" s="292"/>
      <c r="IJ51" s="292"/>
      <c r="IK51" s="292"/>
      <c r="IL51" s="292"/>
      <c r="IM51" s="292"/>
      <c r="IN51" s="292"/>
      <c r="IO51" s="292"/>
      <c r="IP51" s="292"/>
      <c r="IQ51" s="292"/>
      <c r="IR51" s="292"/>
      <c r="IS51" s="292"/>
      <c r="IT51" s="292"/>
      <c r="IU51" s="292"/>
      <c r="IV51" s="292"/>
      <c r="IW51" s="292"/>
      <c r="IX51" s="292"/>
      <c r="IY51" s="292"/>
      <c r="IZ51" s="292"/>
      <c r="JA51" s="292"/>
      <c r="JB51" s="292"/>
      <c r="JC51" s="292"/>
      <c r="JD51" s="292"/>
      <c r="JE51" s="292"/>
      <c r="JF51" s="292"/>
      <c r="JG51" s="292"/>
      <c r="JH51" s="292"/>
      <c r="JI51" s="292"/>
      <c r="JJ51" s="292"/>
      <c r="JK51" s="292"/>
      <c r="JL51" s="292"/>
      <c r="JM51" s="292"/>
      <c r="JN51" s="292"/>
      <c r="JO51" s="292"/>
      <c r="JP51" s="292"/>
      <c r="JQ51" s="292"/>
      <c r="JR51" s="292"/>
      <c r="JS51" s="292"/>
      <c r="JT51" s="292"/>
      <c r="JU51" s="292"/>
      <c r="JV51" s="292"/>
      <c r="JW51" s="292"/>
      <c r="JX51" s="292"/>
      <c r="JY51" s="292"/>
      <c r="JZ51" s="292"/>
      <c r="KA51" s="292"/>
      <c r="KB51" s="292"/>
      <c r="KC51" s="292"/>
      <c r="KD51" s="292"/>
      <c r="KE51" s="292"/>
      <c r="KF51" s="292"/>
      <c r="KG51" s="292"/>
      <c r="KH51" s="292"/>
      <c r="KI51" s="292"/>
      <c r="KJ51" s="292"/>
      <c r="KK51" s="292"/>
      <c r="KL51" s="292"/>
      <c r="KM51" s="292"/>
      <c r="KN51" s="292"/>
      <c r="KO51" s="292"/>
      <c r="KP51" s="292"/>
      <c r="KQ51" s="292"/>
      <c r="KR51" s="292"/>
      <c r="KS51" s="292"/>
      <c r="KT51" s="292"/>
      <c r="KU51" s="292"/>
      <c r="KV51" s="292"/>
      <c r="KW51" s="292"/>
      <c r="KX51" s="292"/>
      <c r="KY51" s="292"/>
      <c r="KZ51" s="292"/>
      <c r="LA51" s="292"/>
      <c r="LB51" s="292"/>
      <c r="LC51" s="292"/>
      <c r="LD51" s="292"/>
      <c r="LE51" s="292"/>
      <c r="LF51" s="292"/>
      <c r="LG51" s="292"/>
      <c r="LH51" s="292"/>
      <c r="LI51" s="292"/>
      <c r="LJ51" s="292"/>
      <c r="LK51" s="292"/>
      <c r="LL51" s="292"/>
      <c r="LM51" s="292"/>
      <c r="LN51" s="292"/>
      <c r="LO51" s="292"/>
      <c r="LP51" s="292"/>
      <c r="LQ51" s="292"/>
      <c r="LR51" s="292"/>
      <c r="LS51" s="292"/>
      <c r="LT51" s="292"/>
      <c r="LU51" s="292"/>
      <c r="LV51" s="292"/>
      <c r="LW51" s="292"/>
      <c r="LX51" s="292"/>
      <c r="LY51" s="292"/>
      <c r="LZ51" s="292"/>
      <c r="MA51" s="292"/>
      <c r="MB51" s="292"/>
      <c r="MC51" s="292"/>
      <c r="MD51" s="292"/>
      <c r="ME51" s="292"/>
      <c r="MF51" s="292"/>
      <c r="MG51" s="292"/>
      <c r="MH51" s="292"/>
      <c r="MI51" s="292"/>
      <c r="MJ51" s="292"/>
      <c r="MK51" s="292"/>
      <c r="ML51" s="292"/>
      <c r="MM51" s="292"/>
      <c r="MN51" s="292"/>
      <c r="MO51" s="292"/>
      <c r="MP51" s="292"/>
      <c r="MQ51" s="292"/>
      <c r="MR51" s="292"/>
      <c r="MS51" s="292"/>
      <c r="MT51" s="292"/>
      <c r="MU51" s="292"/>
      <c r="MV51" s="292"/>
      <c r="MW51" s="292"/>
      <c r="MX51" s="292"/>
      <c r="MY51" s="292"/>
      <c r="MZ51" s="292"/>
      <c r="NA51" s="292"/>
      <c r="NB51" s="292"/>
      <c r="NC51" s="292"/>
      <c r="ND51" s="292"/>
      <c r="NE51" s="292"/>
      <c r="NF51" s="292"/>
      <c r="NG51" s="292"/>
      <c r="NH51" s="292"/>
      <c r="NI51" s="292"/>
      <c r="NJ51" s="292"/>
      <c r="NK51" s="292"/>
      <c r="NL51" s="292"/>
      <c r="NM51" s="292"/>
      <c r="NN51" s="292"/>
      <c r="NO51" s="292"/>
      <c r="NP51" s="292"/>
      <c r="NQ51" s="292"/>
      <c r="NR51" s="292"/>
      <c r="NS51" s="292"/>
      <c r="NT51" s="292"/>
      <c r="NU51" s="292"/>
      <c r="NV51" s="292"/>
      <c r="NW51" s="292"/>
      <c r="NX51" s="292"/>
      <c r="NY51" s="568"/>
      <c r="NZ51" s="568"/>
      <c r="OA51" s="575"/>
      <c r="OB51" s="575"/>
      <c r="OC51" s="578"/>
      <c r="OD51" s="578"/>
    </row>
    <row r="52" spans="1:396" s="20" customFormat="1" ht="10.5" customHeight="1">
      <c r="B52" s="60"/>
      <c r="J52" s="13"/>
      <c r="K52" s="23"/>
      <c r="L52" s="17"/>
      <c r="M52" s="23"/>
      <c r="N52" s="22"/>
      <c r="P52" s="29"/>
      <c r="Q52" s="29"/>
      <c r="S52" s="23"/>
      <c r="T52" s="29"/>
      <c r="V52" s="23"/>
      <c r="W52" s="14"/>
      <c r="X52" s="57"/>
      <c r="Y52" s="12"/>
      <c r="Z52" s="83"/>
      <c r="AY52" s="17"/>
      <c r="BD52" s="17"/>
      <c r="BG52" s="17"/>
      <c r="BJ52" s="17"/>
      <c r="BM52" s="17"/>
      <c r="BP52" s="17"/>
      <c r="BX52" s="17"/>
      <c r="BY52" s="17"/>
      <c r="CA52" s="17"/>
      <c r="CB52" s="291"/>
      <c r="CC52" s="17"/>
      <c r="CD52" s="17"/>
      <c r="CG52" s="17"/>
      <c r="CH52" s="17"/>
      <c r="CI52" s="17"/>
      <c r="CJ52" s="17"/>
      <c r="CK52" s="17"/>
      <c r="CL52" s="17"/>
      <c r="CM52" s="17"/>
      <c r="CN52" s="17"/>
      <c r="CO52" s="17"/>
      <c r="CP52" s="17"/>
      <c r="CQ52" s="17"/>
      <c r="CR52" s="17"/>
      <c r="CS52" s="17"/>
      <c r="CT52" s="17"/>
      <c r="CU52" s="17"/>
      <c r="CV52" s="17"/>
      <c r="CW52" s="17"/>
      <c r="CX52" s="17"/>
      <c r="CY52" s="17"/>
      <c r="CZ52" s="17"/>
      <c r="EG52" s="292"/>
      <c r="EH52" s="292"/>
      <c r="EI52" s="292"/>
      <c r="EJ52" s="292"/>
      <c r="EK52" s="292"/>
      <c r="EL52" s="292"/>
      <c r="EM52" s="292"/>
      <c r="EN52" s="292"/>
      <c r="EO52" s="292"/>
      <c r="EP52" s="292"/>
      <c r="EQ52" s="292"/>
      <c r="ER52" s="292"/>
      <c r="ES52" s="292"/>
      <c r="ET52" s="292"/>
      <c r="EU52" s="292"/>
      <c r="EV52" s="292"/>
      <c r="EW52" s="292"/>
      <c r="EX52" s="292"/>
      <c r="FA52" s="292"/>
      <c r="FB52" s="292"/>
      <c r="FC52" s="292"/>
      <c r="FD52" s="292"/>
      <c r="FE52" s="292"/>
      <c r="FF52" s="292"/>
      <c r="FG52" s="292"/>
      <c r="FH52" s="292"/>
      <c r="FI52" s="292"/>
      <c r="FJ52" s="292"/>
      <c r="FK52" s="292"/>
      <c r="FL52" s="292"/>
      <c r="FM52" s="292"/>
      <c r="FN52" s="292"/>
      <c r="FO52" s="292"/>
      <c r="FP52" s="292"/>
      <c r="FQ52" s="292"/>
      <c r="FR52" s="292"/>
      <c r="FS52" s="292"/>
      <c r="FT52" s="292"/>
      <c r="FU52" s="292"/>
      <c r="FV52" s="292"/>
      <c r="FW52" s="292"/>
      <c r="FX52" s="292"/>
      <c r="FY52" s="292"/>
      <c r="FZ52" s="292"/>
      <c r="GA52" s="292"/>
      <c r="GB52" s="292"/>
      <c r="GC52" s="292"/>
      <c r="GD52" s="292"/>
      <c r="GE52" s="292"/>
      <c r="GF52" s="292"/>
      <c r="GG52" s="292"/>
      <c r="GH52" s="292"/>
      <c r="GI52" s="292"/>
      <c r="GJ52" s="292"/>
      <c r="GK52" s="292"/>
      <c r="GL52" s="292"/>
      <c r="GM52" s="292"/>
      <c r="GN52" s="292"/>
      <c r="GO52" s="292"/>
      <c r="GP52" s="292"/>
      <c r="GQ52" s="292"/>
      <c r="GR52" s="292"/>
      <c r="GS52" s="292"/>
      <c r="GT52" s="292"/>
      <c r="GU52" s="292"/>
      <c r="GV52" s="292"/>
      <c r="GW52" s="292"/>
      <c r="GX52" s="292"/>
      <c r="GY52" s="292"/>
      <c r="GZ52" s="292"/>
      <c r="HA52" s="292"/>
      <c r="HB52" s="292"/>
      <c r="HC52" s="292"/>
      <c r="HD52" s="292"/>
      <c r="HE52" s="292"/>
      <c r="HF52" s="292"/>
      <c r="HG52" s="292"/>
      <c r="HH52" s="292"/>
      <c r="HI52" s="292"/>
      <c r="HJ52" s="292"/>
      <c r="HK52" s="292"/>
      <c r="HL52" s="292"/>
      <c r="HM52" s="292"/>
      <c r="HN52" s="292"/>
      <c r="HO52" s="292"/>
      <c r="HP52" s="292"/>
      <c r="HQ52" s="292"/>
      <c r="HR52" s="292"/>
      <c r="HS52" s="292"/>
      <c r="HT52" s="292"/>
      <c r="HU52" s="292"/>
      <c r="HV52" s="292"/>
      <c r="HW52" s="292"/>
      <c r="HX52" s="292"/>
      <c r="HY52" s="292"/>
      <c r="HZ52" s="292"/>
      <c r="IA52" s="292"/>
      <c r="IB52" s="292"/>
      <c r="IC52" s="292"/>
      <c r="ID52" s="292"/>
      <c r="IE52" s="292"/>
      <c r="IF52" s="292"/>
      <c r="IG52" s="292"/>
      <c r="IH52" s="292"/>
      <c r="II52" s="292"/>
      <c r="IJ52" s="292"/>
      <c r="IK52" s="292"/>
      <c r="IL52" s="292"/>
      <c r="IM52" s="292"/>
      <c r="IN52" s="292"/>
      <c r="IO52" s="292"/>
      <c r="IP52" s="292"/>
      <c r="IQ52" s="292"/>
      <c r="IR52" s="292"/>
      <c r="IS52" s="292"/>
      <c r="IT52" s="292"/>
      <c r="IU52" s="292"/>
      <c r="IV52" s="292"/>
      <c r="IW52" s="292"/>
      <c r="IX52" s="292"/>
      <c r="IY52" s="292"/>
      <c r="IZ52" s="292"/>
      <c r="JA52" s="292"/>
      <c r="JB52" s="292"/>
      <c r="JC52" s="292"/>
      <c r="JD52" s="292"/>
      <c r="JE52" s="292"/>
      <c r="JF52" s="292"/>
      <c r="JG52" s="292"/>
      <c r="JH52" s="292"/>
      <c r="JI52" s="292"/>
      <c r="JJ52" s="292"/>
      <c r="JK52" s="292"/>
      <c r="JL52" s="292"/>
      <c r="JM52" s="292"/>
      <c r="JN52" s="292"/>
      <c r="JO52" s="292"/>
      <c r="JP52" s="292"/>
      <c r="JQ52" s="292"/>
      <c r="JR52" s="292"/>
      <c r="JS52" s="292"/>
      <c r="JT52" s="292"/>
      <c r="JU52" s="292"/>
      <c r="JV52" s="292"/>
      <c r="JW52" s="292"/>
      <c r="JX52" s="292"/>
      <c r="JY52" s="292"/>
      <c r="JZ52" s="292"/>
      <c r="KA52" s="292"/>
      <c r="KB52" s="292"/>
      <c r="KC52" s="292"/>
      <c r="KD52" s="292"/>
      <c r="KE52" s="292"/>
      <c r="KF52" s="292"/>
      <c r="KG52" s="292"/>
      <c r="KH52" s="292"/>
      <c r="KI52" s="292"/>
      <c r="KJ52" s="292"/>
      <c r="KK52" s="292"/>
      <c r="KL52" s="292"/>
      <c r="KM52" s="292"/>
      <c r="KN52" s="292"/>
      <c r="KO52" s="292"/>
      <c r="KP52" s="292"/>
      <c r="KQ52" s="292"/>
      <c r="KR52" s="292"/>
      <c r="KS52" s="292"/>
      <c r="KT52" s="292"/>
      <c r="KU52" s="292"/>
      <c r="KV52" s="292"/>
      <c r="KW52" s="292"/>
      <c r="KX52" s="292"/>
      <c r="KY52" s="292"/>
      <c r="KZ52" s="292"/>
      <c r="LA52" s="292"/>
      <c r="LB52" s="292"/>
      <c r="LC52" s="292"/>
      <c r="LD52" s="292"/>
      <c r="LE52" s="292"/>
      <c r="LF52" s="292"/>
      <c r="LG52" s="292"/>
      <c r="LH52" s="292"/>
      <c r="LI52" s="292"/>
      <c r="LJ52" s="292"/>
      <c r="LK52" s="292"/>
      <c r="LL52" s="292"/>
      <c r="LM52" s="292"/>
      <c r="LN52" s="292"/>
      <c r="LO52" s="292"/>
      <c r="LP52" s="292"/>
      <c r="LQ52" s="292"/>
      <c r="LR52" s="292"/>
      <c r="LS52" s="292"/>
      <c r="LT52" s="292"/>
      <c r="LU52" s="292"/>
      <c r="LV52" s="292"/>
      <c r="LW52" s="292"/>
      <c r="LX52" s="292"/>
      <c r="LY52" s="292"/>
      <c r="LZ52" s="292"/>
      <c r="MA52" s="292"/>
      <c r="MB52" s="292"/>
      <c r="MC52" s="292"/>
      <c r="MD52" s="292"/>
      <c r="ME52" s="292"/>
      <c r="MF52" s="292"/>
      <c r="MG52" s="292"/>
      <c r="MH52" s="292"/>
      <c r="MI52" s="292"/>
      <c r="MJ52" s="292"/>
      <c r="MK52" s="292"/>
      <c r="ML52" s="292"/>
      <c r="MM52" s="292"/>
      <c r="MN52" s="292"/>
      <c r="MO52" s="292"/>
      <c r="MP52" s="292"/>
      <c r="MQ52" s="292"/>
      <c r="MR52" s="292"/>
      <c r="MS52" s="292"/>
      <c r="MT52" s="292"/>
      <c r="MU52" s="292"/>
      <c r="MV52" s="292"/>
      <c r="MW52" s="292"/>
      <c r="MX52" s="292"/>
      <c r="MY52" s="292"/>
      <c r="MZ52" s="292"/>
      <c r="NA52" s="292"/>
      <c r="NB52" s="292"/>
      <c r="NC52" s="292"/>
      <c r="ND52" s="292"/>
      <c r="NE52" s="292"/>
      <c r="NF52" s="292"/>
      <c r="NG52" s="292"/>
      <c r="NH52" s="292"/>
      <c r="NI52" s="292"/>
      <c r="NJ52" s="292"/>
      <c r="NK52" s="292"/>
      <c r="NL52" s="292"/>
      <c r="NM52" s="292"/>
      <c r="NN52" s="292"/>
      <c r="NO52" s="292"/>
      <c r="NP52" s="292"/>
      <c r="NQ52" s="292"/>
      <c r="NR52" s="292"/>
      <c r="NS52" s="292"/>
      <c r="NT52" s="292"/>
      <c r="NU52" s="292"/>
      <c r="NV52" s="292"/>
      <c r="NW52" s="292"/>
      <c r="NX52" s="292"/>
      <c r="NY52" s="568"/>
      <c r="NZ52" s="291"/>
      <c r="OA52" s="575"/>
      <c r="OB52" s="291"/>
      <c r="OC52" s="578"/>
      <c r="OD52" s="291"/>
      <c r="OF52" s="17"/>
    </row>
    <row r="53" spans="1:396" s="20" customFormat="1" ht="10.5" customHeight="1">
      <c r="A53" s="22"/>
      <c r="B53" s="62"/>
      <c r="J53" s="13"/>
      <c r="K53" s="23"/>
      <c r="L53" s="17"/>
      <c r="M53" s="23"/>
      <c r="N53" s="22"/>
      <c r="P53" s="29"/>
      <c r="Q53" s="29"/>
      <c r="S53" s="23"/>
      <c r="T53" s="29"/>
      <c r="V53" s="23"/>
      <c r="W53" s="14"/>
      <c r="X53" s="57"/>
      <c r="Y53" s="12"/>
      <c r="AJ53" s="292"/>
      <c r="AK53" s="292"/>
      <c r="AL53" s="292"/>
      <c r="AM53" s="292"/>
      <c r="BO53" s="17"/>
      <c r="BQ53" s="111"/>
      <c r="CA53" s="17"/>
      <c r="CB53" s="291"/>
      <c r="CC53" s="17"/>
      <c r="CD53" s="17"/>
      <c r="CE53" s="17"/>
      <c r="CG53" s="17"/>
      <c r="CH53" s="17"/>
      <c r="CI53" s="17"/>
      <c r="CJ53" s="17"/>
      <c r="CK53" s="17"/>
      <c r="CL53" s="17"/>
      <c r="CM53" s="17"/>
      <c r="CN53" s="17"/>
      <c r="CO53" s="17"/>
      <c r="CP53" s="17"/>
      <c r="CQ53" s="17"/>
      <c r="CR53" s="17"/>
      <c r="CS53" s="17"/>
      <c r="CT53" s="17"/>
      <c r="CU53" s="17"/>
      <c r="CV53" s="17"/>
      <c r="CW53" s="17"/>
      <c r="CX53" s="17"/>
      <c r="CY53" s="17"/>
      <c r="CZ53" s="17"/>
      <c r="EG53" s="292"/>
      <c r="EH53" s="292"/>
      <c r="EI53" s="292"/>
      <c r="EJ53" s="292"/>
      <c r="EK53" s="292"/>
      <c r="EL53" s="292"/>
      <c r="EM53" s="292"/>
      <c r="EN53" s="292"/>
      <c r="EO53" s="292"/>
      <c r="EP53" s="292"/>
      <c r="EQ53" s="292"/>
      <c r="ER53" s="292"/>
      <c r="ES53" s="292"/>
      <c r="ET53" s="292"/>
      <c r="EU53" s="292"/>
      <c r="EV53" s="292"/>
      <c r="EW53" s="292"/>
      <c r="EX53" s="292"/>
      <c r="FA53" s="292"/>
      <c r="FB53" s="292"/>
      <c r="FC53" s="292"/>
      <c r="FD53" s="292"/>
      <c r="FE53" s="292"/>
      <c r="FF53" s="292"/>
      <c r="FG53" s="292"/>
      <c r="FH53" s="292"/>
      <c r="FI53" s="292"/>
      <c r="FJ53" s="292"/>
      <c r="FK53" s="292"/>
      <c r="FL53" s="292"/>
      <c r="FM53" s="292"/>
      <c r="FN53" s="292"/>
      <c r="FO53" s="292"/>
      <c r="FP53" s="292"/>
      <c r="FQ53" s="292"/>
      <c r="FR53" s="292"/>
      <c r="FS53" s="292"/>
      <c r="FT53" s="292"/>
      <c r="FU53" s="292"/>
      <c r="FV53" s="292"/>
      <c r="FW53" s="292"/>
      <c r="FX53" s="292"/>
      <c r="FY53" s="292"/>
      <c r="FZ53" s="292"/>
      <c r="GA53" s="292"/>
      <c r="GB53" s="292"/>
      <c r="GC53" s="292"/>
      <c r="GD53" s="292"/>
      <c r="GE53" s="292"/>
      <c r="GF53" s="292"/>
      <c r="GG53" s="292"/>
      <c r="GH53" s="292"/>
      <c r="GI53" s="292"/>
      <c r="GJ53" s="292"/>
      <c r="GK53" s="292"/>
      <c r="GL53" s="292"/>
      <c r="GM53" s="292"/>
      <c r="GN53" s="292"/>
      <c r="GO53" s="292"/>
      <c r="GP53" s="292"/>
      <c r="GQ53" s="292"/>
      <c r="GR53" s="292"/>
      <c r="GS53" s="292"/>
      <c r="GT53" s="292"/>
      <c r="GU53" s="292"/>
      <c r="GV53" s="292"/>
      <c r="GW53" s="292"/>
      <c r="GX53" s="292"/>
      <c r="GY53" s="292"/>
      <c r="GZ53" s="292"/>
      <c r="HA53" s="292"/>
      <c r="HB53" s="292"/>
      <c r="HC53" s="292"/>
      <c r="HD53" s="292"/>
      <c r="HE53" s="292"/>
      <c r="HF53" s="292"/>
      <c r="HG53" s="292"/>
      <c r="HH53" s="292"/>
      <c r="HI53" s="292"/>
      <c r="HJ53" s="292"/>
      <c r="HK53" s="292"/>
      <c r="HL53" s="292"/>
      <c r="HM53" s="292"/>
      <c r="HN53" s="292"/>
      <c r="HO53" s="292"/>
      <c r="HP53" s="292"/>
      <c r="HQ53" s="292"/>
      <c r="HR53" s="292"/>
      <c r="HS53" s="292"/>
      <c r="HT53" s="292"/>
      <c r="HU53" s="292"/>
      <c r="HV53" s="292"/>
      <c r="HW53" s="292"/>
      <c r="HX53" s="292"/>
      <c r="HY53" s="292"/>
      <c r="HZ53" s="292"/>
      <c r="IA53" s="292"/>
      <c r="IB53" s="292"/>
      <c r="IC53" s="292"/>
      <c r="ID53" s="292"/>
      <c r="IE53" s="292"/>
      <c r="IF53" s="292"/>
      <c r="IG53" s="292"/>
      <c r="IH53" s="292"/>
      <c r="II53" s="292"/>
      <c r="IJ53" s="292"/>
      <c r="IK53" s="292"/>
      <c r="IL53" s="292"/>
      <c r="IM53" s="292"/>
      <c r="IN53" s="292"/>
      <c r="IO53" s="292"/>
      <c r="IP53" s="292"/>
      <c r="IQ53" s="292"/>
      <c r="IR53" s="292"/>
      <c r="IS53" s="292"/>
      <c r="IT53" s="292"/>
      <c r="IU53" s="292"/>
      <c r="IV53" s="292"/>
      <c r="IW53" s="292"/>
      <c r="IX53" s="292"/>
      <c r="IY53" s="292"/>
      <c r="IZ53" s="292"/>
      <c r="JA53" s="292"/>
      <c r="JB53" s="292"/>
      <c r="JC53" s="292"/>
      <c r="JD53" s="292"/>
      <c r="JE53" s="292"/>
      <c r="JF53" s="292"/>
      <c r="JG53" s="292"/>
      <c r="JH53" s="292"/>
      <c r="JI53" s="292"/>
      <c r="JJ53" s="292"/>
      <c r="JK53" s="292"/>
      <c r="JL53" s="292"/>
      <c r="JM53" s="292"/>
      <c r="JN53" s="292"/>
      <c r="JO53" s="292"/>
      <c r="JP53" s="292"/>
      <c r="JQ53" s="292"/>
      <c r="JR53" s="292"/>
      <c r="JS53" s="292"/>
      <c r="JT53" s="292"/>
      <c r="JU53" s="292"/>
      <c r="JV53" s="292"/>
      <c r="JW53" s="292"/>
      <c r="JX53" s="292"/>
      <c r="JY53" s="292"/>
      <c r="JZ53" s="292"/>
      <c r="KA53" s="292"/>
      <c r="KB53" s="292"/>
      <c r="KC53" s="292"/>
      <c r="KD53" s="292"/>
      <c r="KE53" s="292"/>
      <c r="KF53" s="292"/>
      <c r="KG53" s="292"/>
      <c r="KH53" s="292"/>
      <c r="KI53" s="292"/>
      <c r="KJ53" s="292"/>
      <c r="KK53" s="292"/>
      <c r="KL53" s="292"/>
      <c r="KM53" s="292"/>
      <c r="KN53" s="292"/>
      <c r="KO53" s="292"/>
      <c r="KP53" s="292"/>
      <c r="KQ53" s="292"/>
      <c r="KR53" s="292"/>
      <c r="KS53" s="292"/>
      <c r="KT53" s="292"/>
      <c r="KU53" s="292"/>
      <c r="KV53" s="292"/>
      <c r="KW53" s="292"/>
      <c r="KX53" s="292"/>
      <c r="KY53" s="292"/>
      <c r="KZ53" s="292"/>
      <c r="LA53" s="292"/>
      <c r="LB53" s="292"/>
      <c r="LC53" s="292"/>
      <c r="LD53" s="292"/>
      <c r="LE53" s="292"/>
      <c r="LF53" s="292"/>
      <c r="LG53" s="292"/>
      <c r="LH53" s="292"/>
      <c r="LI53" s="292"/>
      <c r="LJ53" s="292"/>
      <c r="LK53" s="292"/>
      <c r="LL53" s="292"/>
      <c r="LM53" s="292"/>
      <c r="LN53" s="292"/>
      <c r="LO53" s="292"/>
      <c r="LP53" s="292"/>
      <c r="LQ53" s="292"/>
      <c r="LR53" s="292"/>
      <c r="LS53" s="292"/>
      <c r="LT53" s="292"/>
      <c r="LU53" s="292"/>
      <c r="LV53" s="292"/>
      <c r="LW53" s="292"/>
      <c r="LX53" s="292"/>
      <c r="LY53" s="292"/>
      <c r="LZ53" s="292"/>
      <c r="MA53" s="292"/>
      <c r="MB53" s="292"/>
      <c r="MC53" s="292"/>
      <c r="MD53" s="292"/>
      <c r="ME53" s="292"/>
      <c r="MF53" s="292"/>
      <c r="MG53" s="292"/>
      <c r="MH53" s="292"/>
      <c r="MI53" s="292"/>
      <c r="MJ53" s="292"/>
      <c r="MK53" s="292"/>
      <c r="ML53" s="292"/>
      <c r="MM53" s="292"/>
      <c r="MN53" s="292"/>
      <c r="MO53" s="292"/>
      <c r="MP53" s="292"/>
      <c r="MQ53" s="292"/>
      <c r="MR53" s="292"/>
      <c r="MS53" s="292"/>
      <c r="MT53" s="292"/>
      <c r="MU53" s="292"/>
      <c r="MV53" s="292"/>
      <c r="MW53" s="292"/>
      <c r="MX53" s="292"/>
      <c r="MY53" s="292"/>
      <c r="MZ53" s="292"/>
      <c r="NA53" s="292"/>
      <c r="NB53" s="292"/>
      <c r="NC53" s="292"/>
      <c r="ND53" s="292"/>
      <c r="NE53" s="292"/>
      <c r="NF53" s="292"/>
      <c r="NG53" s="292"/>
      <c r="NH53" s="292"/>
      <c r="NI53" s="292"/>
      <c r="NJ53" s="292"/>
      <c r="NK53" s="292"/>
      <c r="NL53" s="292"/>
      <c r="NM53" s="292"/>
      <c r="NN53" s="292"/>
      <c r="NO53" s="292"/>
      <c r="NP53" s="292"/>
      <c r="NQ53" s="292"/>
      <c r="NR53" s="292"/>
      <c r="NS53" s="292"/>
      <c r="NT53" s="292"/>
      <c r="NU53" s="292"/>
      <c r="NV53" s="292"/>
      <c r="NW53" s="292"/>
      <c r="NX53" s="292"/>
      <c r="NY53" s="568"/>
      <c r="NZ53" s="291"/>
      <c r="OA53" s="575"/>
      <c r="OB53" s="291"/>
      <c r="OC53" s="578"/>
      <c r="OD53" s="291"/>
      <c r="OF53" s="17"/>
    </row>
    <row r="54" spans="1:396" s="20" customFormat="1" ht="10.5" customHeight="1">
      <c r="A54" s="12"/>
      <c r="B54" s="12"/>
      <c r="C54" s="12"/>
      <c r="J54" s="169"/>
      <c r="K54" s="23"/>
      <c r="L54" s="17"/>
      <c r="M54" s="23"/>
      <c r="N54" s="22"/>
      <c r="P54" s="29"/>
      <c r="Q54" s="29"/>
      <c r="S54" s="23"/>
      <c r="T54" s="29"/>
      <c r="V54" s="23"/>
      <c r="W54" s="14"/>
      <c r="X54" s="57"/>
      <c r="Y54" s="12"/>
      <c r="AJ54" s="292"/>
      <c r="AK54" s="292"/>
      <c r="AL54" s="292"/>
      <c r="AM54" s="292"/>
      <c r="BO54" s="17"/>
      <c r="CA54" s="22"/>
      <c r="CB54" s="22"/>
      <c r="CC54" s="22"/>
      <c r="CD54" s="22"/>
      <c r="CE54" s="17"/>
      <c r="CG54" s="22"/>
      <c r="CH54" s="22"/>
      <c r="CI54" s="22"/>
      <c r="CJ54" s="22"/>
      <c r="CK54" s="22"/>
      <c r="CL54" s="17"/>
      <c r="CM54" s="17"/>
      <c r="CN54" s="17"/>
      <c r="CO54" s="17"/>
      <c r="CP54" s="17"/>
      <c r="CQ54" s="17"/>
      <c r="CR54" s="17"/>
      <c r="CS54" s="17"/>
      <c r="CT54" s="17"/>
      <c r="CU54" s="17"/>
      <c r="CV54" s="17"/>
      <c r="CW54" s="17"/>
      <c r="CX54" s="17"/>
      <c r="CY54" s="17"/>
      <c r="CZ54" s="17"/>
      <c r="EG54" s="292"/>
      <c r="EH54" s="292"/>
      <c r="EI54" s="292"/>
      <c r="EJ54" s="292"/>
      <c r="EK54" s="292"/>
      <c r="EL54" s="292"/>
      <c r="EM54" s="292"/>
      <c r="EN54" s="292"/>
      <c r="EO54" s="292"/>
      <c r="EP54" s="292"/>
      <c r="EQ54" s="292"/>
      <c r="ER54" s="292"/>
      <c r="ES54" s="292"/>
      <c r="ET54" s="292"/>
      <c r="EU54" s="292"/>
      <c r="EV54" s="292"/>
      <c r="EW54" s="292"/>
      <c r="EX54" s="292"/>
      <c r="FA54" s="292"/>
      <c r="FB54" s="292"/>
      <c r="FC54" s="292"/>
      <c r="FD54" s="292"/>
      <c r="FE54" s="292"/>
      <c r="FF54" s="292"/>
      <c r="FG54" s="292"/>
      <c r="FH54" s="292"/>
      <c r="FI54" s="292"/>
      <c r="FJ54" s="292"/>
      <c r="FK54" s="292"/>
      <c r="FL54" s="292"/>
      <c r="FM54" s="292"/>
      <c r="FN54" s="292"/>
      <c r="FO54" s="292"/>
      <c r="FP54" s="292"/>
      <c r="FQ54" s="292"/>
      <c r="FR54" s="292"/>
      <c r="FS54" s="292"/>
      <c r="FT54" s="292"/>
      <c r="FU54" s="292"/>
      <c r="FV54" s="292"/>
      <c r="FW54" s="292"/>
      <c r="FX54" s="292"/>
      <c r="FY54" s="292"/>
      <c r="FZ54" s="292"/>
      <c r="GA54" s="292"/>
      <c r="GB54" s="292"/>
      <c r="GC54" s="292"/>
      <c r="GD54" s="292"/>
      <c r="GE54" s="292"/>
      <c r="GF54" s="292"/>
      <c r="GG54" s="292"/>
      <c r="GH54" s="292"/>
      <c r="GI54" s="292"/>
      <c r="GJ54" s="292"/>
      <c r="GK54" s="292"/>
      <c r="GL54" s="292"/>
      <c r="GM54" s="292"/>
      <c r="GN54" s="292"/>
      <c r="GO54" s="292"/>
      <c r="GP54" s="292"/>
      <c r="GQ54" s="292"/>
      <c r="GR54" s="292"/>
      <c r="GS54" s="292"/>
      <c r="GT54" s="292"/>
      <c r="GU54" s="292"/>
      <c r="GV54" s="292"/>
      <c r="GW54" s="292"/>
      <c r="GX54" s="292"/>
      <c r="GY54" s="292"/>
      <c r="GZ54" s="292"/>
      <c r="HA54" s="292"/>
      <c r="HB54" s="292"/>
      <c r="HC54" s="292"/>
      <c r="HD54" s="292"/>
      <c r="HE54" s="292"/>
      <c r="HF54" s="292"/>
      <c r="HG54" s="292"/>
      <c r="HH54" s="292"/>
      <c r="HI54" s="292"/>
      <c r="HJ54" s="292"/>
      <c r="HK54" s="292"/>
      <c r="HL54" s="292"/>
      <c r="HM54" s="292"/>
      <c r="HN54" s="292"/>
      <c r="HO54" s="292"/>
      <c r="HP54" s="292"/>
      <c r="HQ54" s="292"/>
      <c r="HR54" s="292"/>
      <c r="HS54" s="292"/>
      <c r="HT54" s="292"/>
      <c r="HU54" s="292"/>
      <c r="HV54" s="292"/>
      <c r="HW54" s="292"/>
      <c r="HX54" s="292"/>
      <c r="HY54" s="292"/>
      <c r="HZ54" s="292"/>
      <c r="IA54" s="292"/>
      <c r="IB54" s="292"/>
      <c r="IC54" s="292"/>
      <c r="ID54" s="292"/>
      <c r="IE54" s="292"/>
      <c r="IF54" s="292"/>
      <c r="IG54" s="292"/>
      <c r="IH54" s="292"/>
      <c r="II54" s="292"/>
      <c r="IJ54" s="292"/>
      <c r="IK54" s="292"/>
      <c r="IL54" s="292"/>
      <c r="IM54" s="292"/>
      <c r="IN54" s="292"/>
      <c r="IO54" s="292"/>
      <c r="IP54" s="292"/>
      <c r="IQ54" s="292"/>
      <c r="IR54" s="292"/>
      <c r="IS54" s="292"/>
      <c r="IT54" s="292"/>
      <c r="IU54" s="292"/>
      <c r="IV54" s="292"/>
      <c r="IW54" s="292"/>
      <c r="IX54" s="292"/>
      <c r="IY54" s="292"/>
      <c r="IZ54" s="292"/>
      <c r="JA54" s="292"/>
      <c r="JB54" s="292"/>
      <c r="JC54" s="292"/>
      <c r="JD54" s="292"/>
      <c r="JE54" s="292"/>
      <c r="JF54" s="292"/>
      <c r="JG54" s="292"/>
      <c r="JH54" s="292"/>
      <c r="JI54" s="292"/>
      <c r="JJ54" s="292"/>
      <c r="JK54" s="292"/>
      <c r="JL54" s="292"/>
      <c r="JM54" s="292"/>
      <c r="JN54" s="292"/>
      <c r="JO54" s="292"/>
      <c r="JP54" s="292"/>
      <c r="JQ54" s="292"/>
      <c r="JR54" s="292"/>
      <c r="JS54" s="292"/>
      <c r="JT54" s="292"/>
      <c r="JU54" s="292"/>
      <c r="JV54" s="292"/>
      <c r="JW54" s="292"/>
      <c r="JX54" s="292"/>
      <c r="JY54" s="292"/>
      <c r="JZ54" s="292"/>
      <c r="KA54" s="292"/>
      <c r="KB54" s="292"/>
      <c r="KC54" s="292"/>
      <c r="KD54" s="292"/>
      <c r="KE54" s="292"/>
      <c r="KF54" s="292"/>
      <c r="KG54" s="292"/>
      <c r="KH54" s="292"/>
      <c r="KI54" s="292"/>
      <c r="KJ54" s="292"/>
      <c r="KK54" s="292"/>
      <c r="KL54" s="292"/>
      <c r="KM54" s="292"/>
      <c r="KN54" s="292"/>
      <c r="KO54" s="292"/>
      <c r="KP54" s="292"/>
      <c r="KQ54" s="292"/>
      <c r="KR54" s="292"/>
      <c r="KS54" s="292"/>
      <c r="KT54" s="292"/>
      <c r="KU54" s="292"/>
      <c r="KV54" s="292"/>
      <c r="KW54" s="292"/>
      <c r="KX54" s="292"/>
      <c r="KY54" s="292"/>
      <c r="KZ54" s="292"/>
      <c r="LA54" s="292"/>
      <c r="LB54" s="292"/>
      <c r="LC54" s="292"/>
      <c r="LD54" s="292"/>
      <c r="LE54" s="292"/>
      <c r="LF54" s="292"/>
      <c r="LG54" s="292"/>
      <c r="LH54" s="292"/>
      <c r="LI54" s="292"/>
      <c r="LJ54" s="292"/>
      <c r="LK54" s="292"/>
      <c r="LL54" s="292"/>
      <c r="LM54" s="292"/>
      <c r="LN54" s="292"/>
      <c r="LO54" s="292"/>
      <c r="LP54" s="292"/>
      <c r="LQ54" s="292"/>
      <c r="LR54" s="292"/>
      <c r="LS54" s="292"/>
      <c r="LT54" s="292"/>
      <c r="LU54" s="292"/>
      <c r="LV54" s="292"/>
      <c r="LW54" s="292"/>
      <c r="LX54" s="292"/>
      <c r="LY54" s="292"/>
      <c r="LZ54" s="292"/>
      <c r="MA54" s="292"/>
      <c r="MB54" s="292"/>
      <c r="MC54" s="292"/>
      <c r="MD54" s="292"/>
      <c r="ME54" s="292"/>
      <c r="MF54" s="292"/>
      <c r="MG54" s="292"/>
      <c r="MH54" s="292"/>
      <c r="MI54" s="292"/>
      <c r="MJ54" s="292"/>
      <c r="MK54" s="292"/>
      <c r="ML54" s="292"/>
      <c r="MM54" s="292"/>
      <c r="MN54" s="292"/>
      <c r="MO54" s="292"/>
      <c r="MP54" s="292"/>
      <c r="MQ54" s="292"/>
      <c r="MR54" s="292"/>
      <c r="MS54" s="292"/>
      <c r="MT54" s="292"/>
      <c r="MU54" s="292"/>
      <c r="MV54" s="292"/>
      <c r="MW54" s="292"/>
      <c r="MX54" s="292"/>
      <c r="MY54" s="292"/>
      <c r="MZ54" s="292"/>
      <c r="NA54" s="292"/>
      <c r="NB54" s="292"/>
      <c r="NC54" s="292"/>
      <c r="ND54" s="292"/>
      <c r="NE54" s="292"/>
      <c r="NF54" s="292"/>
      <c r="NG54" s="292"/>
      <c r="NH54" s="292"/>
      <c r="NI54" s="292"/>
      <c r="NJ54" s="292"/>
      <c r="NK54" s="292"/>
      <c r="NL54" s="292"/>
      <c r="NM54" s="292"/>
      <c r="NN54" s="292"/>
      <c r="NO54" s="292"/>
      <c r="NP54" s="292"/>
      <c r="NQ54" s="292"/>
      <c r="NR54" s="292"/>
      <c r="NS54" s="292"/>
      <c r="NT54" s="292"/>
      <c r="NU54" s="292"/>
      <c r="NV54" s="292"/>
      <c r="NW54" s="292"/>
      <c r="NX54" s="292"/>
      <c r="NY54" s="568"/>
      <c r="NZ54" s="291"/>
      <c r="OA54" s="575"/>
      <c r="OB54" s="291"/>
      <c r="OC54" s="578"/>
      <c r="OD54" s="291"/>
      <c r="OF54" s="17"/>
    </row>
    <row r="55" spans="1:396" s="20" customFormat="1" ht="10.5" customHeight="1">
      <c r="A55" s="12"/>
      <c r="B55" s="12"/>
      <c r="C55" s="12"/>
      <c r="J55" s="13"/>
      <c r="K55" s="23"/>
      <c r="L55" s="17"/>
      <c r="M55" s="23"/>
      <c r="N55" s="22"/>
      <c r="P55" s="29"/>
      <c r="Q55" s="29"/>
      <c r="S55" s="23"/>
      <c r="T55" s="29"/>
      <c r="V55" s="23"/>
      <c r="W55" s="14"/>
      <c r="X55" s="57"/>
      <c r="Y55" s="12"/>
      <c r="CA55" s="29"/>
      <c r="CB55" s="22"/>
      <c r="CC55" s="22"/>
      <c r="CD55" s="22"/>
      <c r="CE55" s="22"/>
      <c r="CG55" s="22"/>
      <c r="CH55" s="22"/>
      <c r="CI55" s="22"/>
      <c r="CJ55" s="22"/>
      <c r="CK55" s="22"/>
      <c r="CL55" s="17"/>
      <c r="CM55" s="17"/>
      <c r="CN55" s="17"/>
      <c r="CO55" s="17"/>
      <c r="CP55" s="17"/>
      <c r="CQ55" s="17"/>
      <c r="CR55" s="17"/>
      <c r="CS55" s="17"/>
      <c r="CT55" s="17"/>
      <c r="CU55" s="17"/>
      <c r="CV55" s="17"/>
      <c r="CW55" s="17"/>
      <c r="CX55" s="17"/>
      <c r="CY55" s="17"/>
      <c r="CZ55" s="17"/>
      <c r="EG55" s="292"/>
      <c r="EH55" s="292"/>
      <c r="EI55" s="292"/>
      <c r="EJ55" s="292"/>
      <c r="EK55" s="292"/>
      <c r="EL55" s="292"/>
      <c r="EM55" s="292"/>
      <c r="EN55" s="292"/>
      <c r="EO55" s="292"/>
      <c r="EP55" s="292"/>
      <c r="EQ55" s="292"/>
      <c r="ER55" s="292"/>
      <c r="ES55" s="292"/>
      <c r="ET55" s="292"/>
      <c r="EU55" s="292"/>
      <c r="EV55" s="292"/>
      <c r="EW55" s="292"/>
      <c r="EX55" s="292"/>
      <c r="FA55" s="292"/>
      <c r="FB55" s="292"/>
      <c r="FC55" s="292"/>
      <c r="FD55" s="292"/>
      <c r="FE55" s="292"/>
      <c r="FF55" s="292"/>
      <c r="FG55" s="292"/>
      <c r="FH55" s="292"/>
      <c r="FI55" s="292"/>
      <c r="FJ55" s="292"/>
      <c r="FK55" s="292"/>
      <c r="FL55" s="292"/>
      <c r="FM55" s="292"/>
      <c r="FN55" s="292"/>
      <c r="FO55" s="292"/>
      <c r="FP55" s="292"/>
      <c r="FQ55" s="292"/>
      <c r="FR55" s="292"/>
      <c r="FS55" s="292"/>
      <c r="FT55" s="292"/>
      <c r="FU55" s="292"/>
      <c r="FV55" s="292"/>
      <c r="FW55" s="292"/>
      <c r="FX55" s="292"/>
      <c r="FY55" s="292"/>
      <c r="FZ55" s="292"/>
      <c r="GA55" s="292"/>
      <c r="GB55" s="292"/>
      <c r="GC55" s="292"/>
      <c r="GD55" s="292"/>
      <c r="GE55" s="292"/>
      <c r="GF55" s="292"/>
      <c r="GG55" s="292"/>
      <c r="GH55" s="292"/>
      <c r="GI55" s="292"/>
      <c r="GJ55" s="292"/>
      <c r="GK55" s="292"/>
      <c r="GL55" s="292"/>
      <c r="GM55" s="292"/>
      <c r="GN55" s="292"/>
      <c r="GO55" s="292"/>
      <c r="GP55" s="292"/>
      <c r="GQ55" s="292"/>
      <c r="GR55" s="292"/>
      <c r="GS55" s="292"/>
      <c r="GT55" s="292"/>
      <c r="GU55" s="292"/>
      <c r="GV55" s="292"/>
      <c r="GW55" s="292"/>
      <c r="GX55" s="292"/>
      <c r="GY55" s="292"/>
      <c r="GZ55" s="292"/>
      <c r="HA55" s="292"/>
      <c r="HB55" s="292"/>
      <c r="HC55" s="292"/>
      <c r="HD55" s="292"/>
      <c r="HE55" s="292"/>
      <c r="HF55" s="292"/>
      <c r="HG55" s="292"/>
      <c r="HH55" s="292"/>
      <c r="HI55" s="292"/>
      <c r="HJ55" s="292"/>
      <c r="HK55" s="292"/>
      <c r="HL55" s="292"/>
      <c r="HM55" s="292"/>
      <c r="HN55" s="292"/>
      <c r="HO55" s="292"/>
      <c r="HP55" s="292"/>
      <c r="HQ55" s="292"/>
      <c r="HR55" s="292"/>
      <c r="HS55" s="292"/>
      <c r="HT55" s="292"/>
      <c r="HU55" s="292"/>
      <c r="HV55" s="292"/>
      <c r="HW55" s="292"/>
      <c r="HX55" s="292"/>
      <c r="HY55" s="292"/>
      <c r="HZ55" s="292"/>
      <c r="IA55" s="292"/>
      <c r="IB55" s="292"/>
      <c r="IC55" s="292"/>
      <c r="ID55" s="292"/>
      <c r="IE55" s="292"/>
      <c r="IF55" s="292"/>
      <c r="IG55" s="292"/>
      <c r="IH55" s="292"/>
      <c r="II55" s="292"/>
      <c r="IJ55" s="292"/>
      <c r="IK55" s="292"/>
      <c r="IL55" s="292"/>
      <c r="IM55" s="292"/>
      <c r="IN55" s="292"/>
      <c r="IO55" s="292"/>
      <c r="IP55" s="292"/>
      <c r="IQ55" s="292"/>
      <c r="IR55" s="292"/>
      <c r="IS55" s="292"/>
      <c r="IT55" s="292"/>
      <c r="IU55" s="292"/>
      <c r="IV55" s="292"/>
      <c r="IW55" s="292"/>
      <c r="IX55" s="292"/>
      <c r="IY55" s="292"/>
      <c r="IZ55" s="292"/>
      <c r="JA55" s="292"/>
      <c r="JB55" s="292"/>
      <c r="JC55" s="292"/>
      <c r="JD55" s="292"/>
      <c r="JE55" s="292"/>
      <c r="JF55" s="292"/>
      <c r="JG55" s="292"/>
      <c r="JH55" s="292"/>
      <c r="JI55" s="292"/>
      <c r="JJ55" s="292"/>
      <c r="JK55" s="292"/>
      <c r="JL55" s="292"/>
      <c r="JM55" s="292"/>
      <c r="JN55" s="292"/>
      <c r="JO55" s="292"/>
      <c r="JP55" s="292"/>
      <c r="JQ55" s="292"/>
      <c r="JR55" s="292"/>
      <c r="JS55" s="292"/>
      <c r="JT55" s="292"/>
      <c r="JU55" s="292"/>
      <c r="JV55" s="292"/>
      <c r="JW55" s="292"/>
      <c r="JX55" s="292"/>
      <c r="JY55" s="292"/>
      <c r="JZ55" s="292"/>
      <c r="KA55" s="292"/>
      <c r="KB55" s="292"/>
      <c r="KC55" s="292"/>
      <c r="KD55" s="292"/>
      <c r="KE55" s="292"/>
      <c r="KF55" s="292"/>
      <c r="KG55" s="292"/>
      <c r="KH55" s="292"/>
      <c r="KI55" s="292"/>
      <c r="KJ55" s="292"/>
      <c r="KK55" s="292"/>
      <c r="KL55" s="292"/>
      <c r="KM55" s="292"/>
      <c r="KN55" s="292"/>
      <c r="KO55" s="292"/>
      <c r="KP55" s="292"/>
      <c r="KQ55" s="292"/>
      <c r="KR55" s="292"/>
      <c r="KS55" s="292"/>
      <c r="KT55" s="292"/>
      <c r="KU55" s="292"/>
      <c r="KV55" s="292"/>
      <c r="KW55" s="292"/>
      <c r="KX55" s="292"/>
      <c r="KY55" s="292"/>
      <c r="KZ55" s="292"/>
      <c r="LA55" s="292"/>
      <c r="LB55" s="292"/>
      <c r="LC55" s="292"/>
      <c r="LD55" s="292"/>
      <c r="LE55" s="292"/>
      <c r="LF55" s="292"/>
      <c r="LG55" s="292"/>
      <c r="LH55" s="292"/>
      <c r="LI55" s="292"/>
      <c r="LJ55" s="292"/>
      <c r="LK55" s="292"/>
      <c r="LL55" s="292"/>
      <c r="LM55" s="292"/>
      <c r="LN55" s="292"/>
      <c r="LO55" s="292"/>
      <c r="LP55" s="292"/>
      <c r="LQ55" s="292"/>
      <c r="LR55" s="292"/>
      <c r="LS55" s="292"/>
      <c r="LT55" s="292"/>
      <c r="LU55" s="292"/>
      <c r="LV55" s="292"/>
      <c r="LW55" s="292"/>
      <c r="LX55" s="292"/>
      <c r="LY55" s="292"/>
      <c r="LZ55" s="292"/>
      <c r="MA55" s="292"/>
      <c r="MB55" s="292"/>
      <c r="MC55" s="292"/>
      <c r="MD55" s="292"/>
      <c r="ME55" s="292"/>
      <c r="MF55" s="292"/>
      <c r="MG55" s="292"/>
      <c r="MH55" s="292"/>
      <c r="MI55" s="292"/>
      <c r="MJ55" s="292"/>
      <c r="MK55" s="292"/>
      <c r="ML55" s="292"/>
      <c r="MM55" s="292"/>
      <c r="MN55" s="292"/>
      <c r="MO55" s="292"/>
      <c r="MP55" s="292"/>
      <c r="MQ55" s="292"/>
      <c r="MR55" s="292"/>
      <c r="MS55" s="292"/>
      <c r="MT55" s="292"/>
      <c r="MU55" s="292"/>
      <c r="MV55" s="292"/>
      <c r="MW55" s="292"/>
      <c r="MX55" s="292"/>
      <c r="MY55" s="292"/>
      <c r="MZ55" s="292"/>
      <c r="NA55" s="292"/>
      <c r="NB55" s="292"/>
      <c r="NC55" s="292"/>
      <c r="ND55" s="292"/>
      <c r="NE55" s="292"/>
      <c r="NF55" s="292"/>
      <c r="NG55" s="292"/>
      <c r="NH55" s="292"/>
      <c r="NI55" s="292"/>
      <c r="NJ55" s="292"/>
      <c r="NK55" s="292"/>
      <c r="NL55" s="292"/>
      <c r="NM55" s="292"/>
      <c r="NN55" s="292"/>
      <c r="NO55" s="292"/>
      <c r="NP55" s="292"/>
      <c r="NQ55" s="292"/>
      <c r="NR55" s="292"/>
      <c r="NS55" s="292"/>
      <c r="NT55" s="292"/>
      <c r="NU55" s="292"/>
      <c r="NV55" s="292"/>
      <c r="NW55" s="292"/>
      <c r="NX55" s="292"/>
      <c r="NY55" s="568"/>
      <c r="NZ55" s="291"/>
      <c r="OA55" s="575"/>
      <c r="OB55" s="291"/>
      <c r="OC55" s="578"/>
      <c r="OD55" s="291"/>
      <c r="OF55" s="17"/>
    </row>
    <row r="56" spans="1:396" s="20" customFormat="1" ht="10.5" customHeight="1">
      <c r="A56" s="12"/>
      <c r="B56" s="12"/>
      <c r="C56" s="12"/>
      <c r="D56" s="94"/>
      <c r="F56" s="17"/>
      <c r="I56" s="17"/>
      <c r="J56" s="30"/>
      <c r="K56" s="30"/>
      <c r="L56" s="17"/>
      <c r="M56" s="23"/>
      <c r="N56" s="22"/>
      <c r="O56" s="17"/>
      <c r="P56" s="29"/>
      <c r="Q56" s="29"/>
      <c r="R56" s="17"/>
      <c r="S56" s="23"/>
      <c r="T56" s="29"/>
      <c r="U56" s="17"/>
      <c r="V56" s="23"/>
      <c r="W56" s="14"/>
      <c r="X56" s="57"/>
      <c r="Y56" s="12"/>
      <c r="AA56" s="17"/>
      <c r="AD56" s="17"/>
      <c r="AG56" s="17"/>
      <c r="AJ56" s="17"/>
      <c r="AM56" s="17"/>
      <c r="AP56" s="17"/>
      <c r="CA56" s="29"/>
      <c r="CB56" s="22"/>
      <c r="CC56" s="22"/>
      <c r="CD56" s="22"/>
      <c r="CE56" s="22"/>
      <c r="CF56" s="22"/>
      <c r="CG56" s="22"/>
      <c r="CH56" s="22"/>
      <c r="CI56" s="22"/>
      <c r="CJ56" s="17"/>
      <c r="CK56" s="17"/>
      <c r="CL56" s="17"/>
      <c r="CM56" s="17"/>
      <c r="CN56" s="17"/>
      <c r="CO56" s="17"/>
      <c r="CP56" s="17"/>
      <c r="CQ56" s="17"/>
      <c r="CR56" s="17"/>
      <c r="CS56" s="17"/>
      <c r="CT56" s="17"/>
      <c r="CU56" s="17"/>
      <c r="CV56" s="17"/>
      <c r="CW56" s="17"/>
      <c r="CX56" s="17"/>
      <c r="CY56" s="17"/>
      <c r="CZ56" s="17"/>
      <c r="EG56" s="292"/>
      <c r="EH56" s="292"/>
      <c r="EI56" s="292"/>
      <c r="EJ56" s="292"/>
      <c r="EK56" s="292"/>
      <c r="EL56" s="292"/>
      <c r="EM56" s="292"/>
      <c r="EN56" s="292"/>
      <c r="EO56" s="292"/>
      <c r="EP56" s="292"/>
      <c r="EQ56" s="292"/>
      <c r="ER56" s="292"/>
      <c r="ES56" s="292"/>
      <c r="ET56" s="292"/>
      <c r="EU56" s="292"/>
      <c r="EV56" s="292"/>
      <c r="EW56" s="292"/>
      <c r="EX56" s="292"/>
      <c r="FA56" s="292"/>
      <c r="FB56" s="292"/>
      <c r="FC56" s="292"/>
      <c r="FD56" s="292"/>
      <c r="FE56" s="292"/>
      <c r="FF56" s="292"/>
      <c r="FG56" s="292"/>
      <c r="FH56" s="292"/>
      <c r="FI56" s="292"/>
      <c r="FJ56" s="292"/>
      <c r="FK56" s="292"/>
      <c r="FL56" s="292"/>
      <c r="FM56" s="292"/>
      <c r="FN56" s="292"/>
      <c r="FO56" s="292"/>
      <c r="FP56" s="292"/>
      <c r="FQ56" s="292"/>
      <c r="FR56" s="292"/>
      <c r="FS56" s="292"/>
      <c r="FT56" s="292"/>
      <c r="FU56" s="292"/>
      <c r="FV56" s="292"/>
      <c r="FW56" s="292"/>
      <c r="FX56" s="292"/>
      <c r="FY56" s="292"/>
      <c r="FZ56" s="292"/>
      <c r="GA56" s="292"/>
      <c r="GB56" s="292"/>
      <c r="GC56" s="292"/>
      <c r="GD56" s="292"/>
      <c r="GE56" s="292"/>
      <c r="GF56" s="292"/>
      <c r="GG56" s="292"/>
      <c r="GH56" s="292"/>
      <c r="GI56" s="292"/>
      <c r="GJ56" s="292"/>
      <c r="GK56" s="292"/>
      <c r="GL56" s="292"/>
      <c r="GM56" s="292"/>
      <c r="GN56" s="292"/>
      <c r="GO56" s="292"/>
      <c r="GP56" s="292"/>
      <c r="GQ56" s="292"/>
      <c r="GR56" s="292"/>
      <c r="GS56" s="292"/>
      <c r="GT56" s="292"/>
      <c r="GU56" s="292"/>
      <c r="GV56" s="292"/>
      <c r="GW56" s="292"/>
      <c r="GX56" s="292"/>
      <c r="GY56" s="292"/>
      <c r="GZ56" s="292"/>
      <c r="HA56" s="292"/>
      <c r="HB56" s="292"/>
      <c r="HC56" s="292"/>
      <c r="HD56" s="292"/>
      <c r="HE56" s="292"/>
      <c r="HF56" s="292"/>
      <c r="HG56" s="292"/>
      <c r="HH56" s="292"/>
      <c r="HI56" s="292"/>
      <c r="HJ56" s="292"/>
      <c r="HK56" s="292"/>
      <c r="HL56" s="292"/>
      <c r="HM56" s="292"/>
      <c r="HN56" s="292"/>
      <c r="HO56" s="292"/>
      <c r="HP56" s="292"/>
      <c r="HQ56" s="292"/>
      <c r="HR56" s="292"/>
      <c r="HS56" s="292"/>
      <c r="HT56" s="292"/>
      <c r="HU56" s="292"/>
      <c r="HV56" s="292"/>
      <c r="HW56" s="292"/>
      <c r="HX56" s="292"/>
      <c r="HY56" s="292"/>
      <c r="HZ56" s="292"/>
      <c r="IA56" s="292"/>
      <c r="IB56" s="292"/>
      <c r="IC56" s="292"/>
      <c r="ID56" s="292"/>
      <c r="IE56" s="292"/>
      <c r="IF56" s="292"/>
      <c r="IG56" s="292"/>
      <c r="IH56" s="292"/>
      <c r="II56" s="292"/>
      <c r="IJ56" s="292"/>
      <c r="IK56" s="292"/>
      <c r="IL56" s="292"/>
      <c r="IM56" s="292"/>
      <c r="IN56" s="292"/>
      <c r="IO56" s="292"/>
      <c r="IP56" s="292"/>
      <c r="IQ56" s="292"/>
      <c r="IR56" s="292"/>
      <c r="IS56" s="292"/>
      <c r="IT56" s="292"/>
      <c r="IU56" s="292"/>
      <c r="IV56" s="292"/>
      <c r="IW56" s="292"/>
      <c r="IX56" s="292"/>
      <c r="IY56" s="292"/>
      <c r="IZ56" s="292"/>
      <c r="JA56" s="292"/>
      <c r="JB56" s="292"/>
      <c r="JC56" s="292"/>
      <c r="JD56" s="292"/>
      <c r="JE56" s="292"/>
      <c r="JF56" s="292"/>
      <c r="JG56" s="292"/>
      <c r="JH56" s="292"/>
      <c r="JI56" s="292"/>
      <c r="JJ56" s="292"/>
      <c r="JK56" s="292"/>
      <c r="JL56" s="292"/>
      <c r="JM56" s="292"/>
      <c r="JN56" s="292"/>
      <c r="JO56" s="292"/>
      <c r="JP56" s="292"/>
      <c r="JQ56" s="292"/>
      <c r="JR56" s="292"/>
      <c r="JS56" s="292"/>
      <c r="JT56" s="292"/>
      <c r="JU56" s="292"/>
      <c r="JV56" s="292"/>
      <c r="JW56" s="292"/>
      <c r="JX56" s="292"/>
      <c r="JY56" s="292"/>
      <c r="JZ56" s="292"/>
      <c r="KA56" s="292"/>
      <c r="KB56" s="292"/>
      <c r="KC56" s="292"/>
      <c r="KD56" s="292"/>
      <c r="KE56" s="292"/>
      <c r="KF56" s="292"/>
      <c r="KG56" s="292"/>
      <c r="KH56" s="292"/>
      <c r="KI56" s="292"/>
      <c r="KJ56" s="292"/>
      <c r="KK56" s="292"/>
      <c r="KL56" s="292"/>
      <c r="KM56" s="292"/>
      <c r="KN56" s="292"/>
      <c r="KO56" s="292"/>
      <c r="KP56" s="292"/>
      <c r="KQ56" s="292"/>
      <c r="KR56" s="292"/>
      <c r="KS56" s="292"/>
      <c r="KT56" s="292"/>
      <c r="KU56" s="292"/>
      <c r="KV56" s="292"/>
      <c r="KW56" s="292"/>
      <c r="KX56" s="292"/>
      <c r="KY56" s="292"/>
      <c r="KZ56" s="292"/>
      <c r="LA56" s="292"/>
      <c r="LB56" s="292"/>
      <c r="LC56" s="292"/>
      <c r="LD56" s="292"/>
      <c r="LE56" s="292"/>
      <c r="LF56" s="292"/>
      <c r="LG56" s="292"/>
      <c r="LH56" s="292"/>
      <c r="LI56" s="292"/>
      <c r="LJ56" s="292"/>
      <c r="LK56" s="292"/>
      <c r="LL56" s="292"/>
      <c r="LM56" s="292"/>
      <c r="LN56" s="292"/>
      <c r="LO56" s="292"/>
      <c r="LP56" s="292"/>
      <c r="LQ56" s="292"/>
      <c r="LR56" s="292"/>
      <c r="LS56" s="292"/>
      <c r="LT56" s="292"/>
      <c r="LU56" s="292"/>
      <c r="LV56" s="292"/>
      <c r="LW56" s="292"/>
      <c r="LX56" s="292"/>
      <c r="LY56" s="292"/>
      <c r="LZ56" s="292"/>
      <c r="MA56" s="292"/>
      <c r="MB56" s="292"/>
      <c r="MC56" s="292"/>
      <c r="MD56" s="292"/>
      <c r="ME56" s="292"/>
      <c r="MF56" s="292"/>
      <c r="MG56" s="292"/>
      <c r="MH56" s="292"/>
      <c r="MI56" s="292"/>
      <c r="MJ56" s="292"/>
      <c r="MK56" s="292"/>
      <c r="ML56" s="292"/>
      <c r="MM56" s="292"/>
      <c r="MN56" s="292"/>
      <c r="MO56" s="292"/>
      <c r="MP56" s="292"/>
      <c r="MQ56" s="292"/>
      <c r="MR56" s="292"/>
      <c r="MS56" s="292"/>
      <c r="MT56" s="292"/>
      <c r="MU56" s="292"/>
      <c r="MV56" s="292"/>
      <c r="MW56" s="292"/>
      <c r="MX56" s="292"/>
      <c r="MY56" s="292"/>
      <c r="MZ56" s="292"/>
      <c r="NA56" s="292"/>
      <c r="NB56" s="292"/>
      <c r="NC56" s="292"/>
      <c r="ND56" s="292"/>
      <c r="NE56" s="292"/>
      <c r="NF56" s="292"/>
      <c r="NG56" s="292"/>
      <c r="NH56" s="292"/>
      <c r="NI56" s="292"/>
      <c r="NJ56" s="292"/>
      <c r="NK56" s="292"/>
      <c r="NL56" s="292"/>
      <c r="NM56" s="292"/>
      <c r="NN56" s="292"/>
      <c r="NO56" s="292"/>
      <c r="NP56" s="292"/>
      <c r="NQ56" s="292"/>
      <c r="NR56" s="292"/>
      <c r="NS56" s="292"/>
      <c r="NT56" s="292"/>
      <c r="NU56" s="292"/>
      <c r="NV56" s="292"/>
      <c r="NW56" s="292"/>
      <c r="NX56" s="292"/>
      <c r="NY56" s="568"/>
      <c r="NZ56" s="291"/>
      <c r="OA56" s="575"/>
      <c r="OB56" s="291"/>
      <c r="OC56" s="578"/>
      <c r="OD56" s="291"/>
      <c r="OF56" s="17"/>
    </row>
    <row r="57" spans="1:396" s="20" customFormat="1" ht="10.5" customHeight="1">
      <c r="A57" s="12"/>
      <c r="B57" s="12"/>
      <c r="C57" s="12"/>
      <c r="F57" s="17"/>
      <c r="I57" s="17"/>
      <c r="J57" s="13"/>
      <c r="K57" s="23"/>
      <c r="L57" s="17"/>
      <c r="M57" s="23"/>
      <c r="N57" s="22"/>
      <c r="O57" s="17"/>
      <c r="P57" s="29"/>
      <c r="Q57" s="29"/>
      <c r="R57" s="17"/>
      <c r="S57" s="23"/>
      <c r="T57" s="29"/>
      <c r="U57" s="17"/>
      <c r="V57" s="23"/>
      <c r="X57" s="17"/>
      <c r="AA57" s="17"/>
      <c r="AD57" s="17"/>
      <c r="AG57" s="17"/>
      <c r="AJ57" s="17"/>
      <c r="AM57" s="17"/>
      <c r="AP57" s="17"/>
      <c r="CA57" s="29"/>
      <c r="CB57" s="22"/>
      <c r="CC57" s="22"/>
      <c r="CD57" s="22"/>
      <c r="CE57" s="22"/>
      <c r="CF57" s="22"/>
      <c r="CG57" s="22"/>
      <c r="CH57" s="22"/>
      <c r="CI57" s="22"/>
      <c r="CJ57" s="17"/>
      <c r="CK57" s="17"/>
      <c r="CL57" s="17"/>
      <c r="CM57" s="17"/>
      <c r="CN57" s="17"/>
      <c r="CO57" s="17"/>
      <c r="CP57" s="17"/>
      <c r="CQ57" s="17"/>
      <c r="CR57" s="17"/>
      <c r="CS57" s="17"/>
      <c r="CT57" s="17"/>
      <c r="CU57" s="17"/>
      <c r="CV57" s="17"/>
      <c r="CW57" s="17"/>
      <c r="CX57" s="17"/>
      <c r="CY57" s="17"/>
      <c r="CZ57" s="17"/>
      <c r="EG57" s="292"/>
      <c r="EH57" s="292"/>
      <c r="EI57" s="292"/>
      <c r="EJ57" s="292"/>
      <c r="EK57" s="292"/>
      <c r="EL57" s="292"/>
      <c r="EM57" s="292"/>
      <c r="EN57" s="292"/>
      <c r="EO57" s="292"/>
      <c r="EP57" s="292"/>
      <c r="EQ57" s="292"/>
      <c r="ER57" s="292"/>
      <c r="ES57" s="292"/>
      <c r="ET57" s="292"/>
      <c r="EU57" s="292"/>
      <c r="EV57" s="292"/>
      <c r="EW57" s="292"/>
      <c r="EX57" s="292"/>
      <c r="FA57" s="292"/>
      <c r="FB57" s="292"/>
      <c r="FC57" s="292"/>
      <c r="FD57" s="292"/>
      <c r="FE57" s="292"/>
      <c r="FF57" s="292"/>
      <c r="FG57" s="292"/>
      <c r="FH57" s="292"/>
      <c r="FI57" s="292"/>
      <c r="FJ57" s="292"/>
      <c r="FK57" s="292"/>
      <c r="FL57" s="292"/>
      <c r="FM57" s="292"/>
      <c r="FN57" s="292"/>
      <c r="FO57" s="292"/>
      <c r="FP57" s="292"/>
      <c r="FQ57" s="292"/>
      <c r="FR57" s="292"/>
      <c r="FS57" s="292"/>
      <c r="FT57" s="292"/>
      <c r="FU57" s="292"/>
      <c r="FV57" s="292"/>
      <c r="FW57" s="292"/>
      <c r="FX57" s="292"/>
      <c r="FY57" s="292"/>
      <c r="FZ57" s="292"/>
      <c r="GA57" s="292"/>
      <c r="GB57" s="292"/>
      <c r="GC57" s="292"/>
      <c r="GD57" s="292"/>
      <c r="GE57" s="292"/>
      <c r="GF57" s="292"/>
      <c r="GG57" s="292"/>
      <c r="GH57" s="292"/>
      <c r="GI57" s="292"/>
      <c r="GJ57" s="292"/>
      <c r="GK57" s="292"/>
      <c r="GL57" s="292"/>
      <c r="GM57" s="292"/>
      <c r="GN57" s="292"/>
      <c r="GO57" s="292"/>
      <c r="GP57" s="292"/>
      <c r="GQ57" s="292"/>
      <c r="GR57" s="292"/>
      <c r="GS57" s="292"/>
      <c r="GT57" s="292"/>
      <c r="GU57" s="292"/>
      <c r="GV57" s="292"/>
      <c r="GW57" s="292"/>
      <c r="GX57" s="292"/>
      <c r="GY57" s="292"/>
      <c r="GZ57" s="292"/>
      <c r="HA57" s="292"/>
      <c r="HB57" s="292"/>
      <c r="HC57" s="292"/>
      <c r="HD57" s="292"/>
      <c r="HE57" s="292"/>
      <c r="HF57" s="292"/>
      <c r="HG57" s="292"/>
      <c r="HH57" s="292"/>
      <c r="HI57" s="292"/>
      <c r="HJ57" s="292"/>
      <c r="HK57" s="292"/>
      <c r="HL57" s="292"/>
      <c r="HM57" s="292"/>
      <c r="HN57" s="292"/>
      <c r="HO57" s="292"/>
      <c r="HP57" s="292"/>
      <c r="HQ57" s="292"/>
      <c r="HR57" s="292"/>
      <c r="HS57" s="292"/>
      <c r="HT57" s="292"/>
      <c r="HU57" s="292"/>
      <c r="HV57" s="292"/>
      <c r="HW57" s="292"/>
      <c r="HX57" s="292"/>
      <c r="HY57" s="292"/>
      <c r="HZ57" s="292"/>
      <c r="IA57" s="292"/>
      <c r="IB57" s="292"/>
      <c r="IC57" s="292"/>
      <c r="ID57" s="292"/>
      <c r="IE57" s="292"/>
      <c r="IF57" s="292"/>
      <c r="IG57" s="292"/>
      <c r="IH57" s="292"/>
      <c r="II57" s="292"/>
      <c r="IJ57" s="292"/>
      <c r="IK57" s="292"/>
      <c r="IL57" s="292"/>
      <c r="IM57" s="292"/>
      <c r="IN57" s="292"/>
      <c r="IO57" s="292"/>
      <c r="IP57" s="292"/>
      <c r="IQ57" s="292"/>
      <c r="IR57" s="292"/>
      <c r="IS57" s="292"/>
      <c r="IT57" s="292"/>
      <c r="IU57" s="292"/>
      <c r="IV57" s="292"/>
      <c r="IW57" s="292"/>
      <c r="IX57" s="292"/>
      <c r="IY57" s="292"/>
      <c r="IZ57" s="292"/>
      <c r="JA57" s="292"/>
      <c r="JB57" s="292"/>
      <c r="JC57" s="292"/>
      <c r="JD57" s="292"/>
      <c r="JE57" s="292"/>
      <c r="JF57" s="292"/>
      <c r="JG57" s="292"/>
      <c r="JH57" s="292"/>
      <c r="JI57" s="292"/>
      <c r="JJ57" s="292"/>
      <c r="JK57" s="292"/>
      <c r="JL57" s="292"/>
      <c r="JM57" s="292"/>
      <c r="JN57" s="292"/>
      <c r="JO57" s="292"/>
      <c r="JP57" s="292"/>
      <c r="JQ57" s="292"/>
      <c r="JR57" s="292"/>
      <c r="JS57" s="292"/>
      <c r="JT57" s="292"/>
      <c r="JU57" s="292"/>
      <c r="JV57" s="292"/>
      <c r="JW57" s="292"/>
      <c r="JX57" s="292"/>
      <c r="JY57" s="292"/>
      <c r="JZ57" s="292"/>
      <c r="KA57" s="292"/>
      <c r="KB57" s="292"/>
      <c r="KC57" s="292"/>
      <c r="KD57" s="292"/>
      <c r="KE57" s="292"/>
      <c r="KF57" s="292"/>
      <c r="KG57" s="292"/>
      <c r="KH57" s="292"/>
      <c r="KI57" s="292"/>
      <c r="KJ57" s="292"/>
      <c r="KK57" s="292"/>
      <c r="KL57" s="292"/>
      <c r="KM57" s="292"/>
      <c r="KN57" s="292"/>
      <c r="KO57" s="292"/>
      <c r="KP57" s="292"/>
      <c r="KQ57" s="292"/>
      <c r="KR57" s="292"/>
      <c r="KS57" s="292"/>
      <c r="KT57" s="292"/>
      <c r="KU57" s="292"/>
      <c r="KV57" s="292"/>
      <c r="KW57" s="292"/>
      <c r="KX57" s="292"/>
      <c r="KY57" s="292"/>
      <c r="KZ57" s="292"/>
      <c r="LA57" s="292"/>
      <c r="LB57" s="292"/>
      <c r="LC57" s="292"/>
      <c r="LD57" s="292"/>
      <c r="LE57" s="292"/>
      <c r="LF57" s="292"/>
      <c r="LG57" s="292"/>
      <c r="LH57" s="292"/>
      <c r="LI57" s="292"/>
      <c r="LJ57" s="292"/>
      <c r="LK57" s="292"/>
      <c r="LL57" s="292"/>
      <c r="LM57" s="292"/>
      <c r="LN57" s="292"/>
      <c r="LO57" s="292"/>
      <c r="LP57" s="292"/>
      <c r="LQ57" s="292"/>
      <c r="LR57" s="292"/>
      <c r="LS57" s="292"/>
      <c r="LT57" s="292"/>
      <c r="LU57" s="292"/>
      <c r="LV57" s="292"/>
      <c r="LW57" s="292"/>
      <c r="LX57" s="292"/>
      <c r="LY57" s="292"/>
      <c r="LZ57" s="292"/>
      <c r="MA57" s="292"/>
      <c r="MB57" s="292"/>
      <c r="MC57" s="292"/>
      <c r="MD57" s="292"/>
      <c r="ME57" s="292"/>
      <c r="MF57" s="292"/>
      <c r="MG57" s="292"/>
      <c r="MH57" s="292"/>
      <c r="MI57" s="292"/>
      <c r="MJ57" s="292"/>
      <c r="MK57" s="292"/>
      <c r="ML57" s="292"/>
      <c r="MM57" s="292"/>
      <c r="MN57" s="292"/>
      <c r="MO57" s="292"/>
      <c r="MP57" s="292"/>
      <c r="MQ57" s="292"/>
      <c r="MR57" s="292"/>
      <c r="MS57" s="292"/>
      <c r="MT57" s="292"/>
      <c r="MU57" s="292"/>
      <c r="MV57" s="292"/>
      <c r="MW57" s="292"/>
      <c r="MX57" s="292"/>
      <c r="MY57" s="292"/>
      <c r="MZ57" s="292"/>
      <c r="NA57" s="292"/>
      <c r="NB57" s="292"/>
      <c r="NC57" s="292"/>
      <c r="ND57" s="292"/>
      <c r="NE57" s="292"/>
      <c r="NF57" s="292"/>
      <c r="NG57" s="292"/>
      <c r="NH57" s="292"/>
      <c r="NI57" s="292"/>
      <c r="NJ57" s="292"/>
      <c r="NK57" s="292"/>
      <c r="NL57" s="292"/>
      <c r="NM57" s="292"/>
      <c r="NN57" s="292"/>
      <c r="NO57" s="292"/>
      <c r="NP57" s="292"/>
      <c r="NQ57" s="292"/>
      <c r="NR57" s="292"/>
      <c r="NS57" s="292"/>
      <c r="NT57" s="292"/>
      <c r="NU57" s="292"/>
      <c r="NV57" s="292"/>
      <c r="NW57" s="292"/>
      <c r="NX57" s="292"/>
      <c r="NY57" s="568"/>
      <c r="NZ57" s="291"/>
      <c r="OA57" s="575"/>
      <c r="OB57" s="291"/>
      <c r="OC57" s="578"/>
      <c r="OD57" s="291"/>
      <c r="OF57" s="17"/>
    </row>
    <row r="58" spans="1:396" s="20" customFormat="1" ht="10.5" customHeight="1">
      <c r="A58" s="12"/>
      <c r="B58" s="12"/>
      <c r="C58" s="12"/>
      <c r="F58" s="17"/>
      <c r="I58" s="17"/>
      <c r="J58" s="13"/>
      <c r="K58" s="23"/>
      <c r="L58" s="17"/>
      <c r="M58" s="33"/>
      <c r="N58" s="29"/>
      <c r="O58" s="17"/>
      <c r="P58" s="23"/>
      <c r="Q58" s="23"/>
      <c r="R58" s="17"/>
      <c r="S58" s="23"/>
      <c r="T58" s="34"/>
      <c r="U58" s="17"/>
      <c r="V58" s="23"/>
      <c r="X58" s="17"/>
      <c r="AA58" s="17"/>
      <c r="AD58" s="17"/>
      <c r="AG58" s="17"/>
      <c r="AJ58" s="17"/>
      <c r="AL58" s="268"/>
      <c r="AM58" s="17"/>
      <c r="CA58" s="29"/>
      <c r="CB58" s="30"/>
      <c r="CC58" s="22"/>
      <c r="CD58" s="22"/>
      <c r="CE58" s="29"/>
      <c r="CF58" s="27"/>
      <c r="CG58" s="22"/>
      <c r="CH58" s="52"/>
      <c r="CI58" s="52"/>
      <c r="CJ58" s="52"/>
      <c r="CK58" s="52"/>
      <c r="CL58" s="52"/>
      <c r="CM58" s="52"/>
      <c r="CN58" s="17"/>
      <c r="CO58" s="17"/>
      <c r="CP58" s="17"/>
      <c r="CQ58" s="17"/>
      <c r="CR58" s="17"/>
      <c r="CS58" s="17"/>
      <c r="CT58" s="17"/>
      <c r="CU58" s="17"/>
      <c r="CV58" s="17"/>
      <c r="CW58" s="17"/>
      <c r="CX58" s="17"/>
      <c r="CY58" s="17"/>
      <c r="CZ58" s="17"/>
      <c r="EG58" s="292"/>
      <c r="EH58" s="292"/>
      <c r="EI58" s="292"/>
      <c r="EJ58" s="292"/>
      <c r="EK58" s="292"/>
      <c r="EL58" s="292"/>
      <c r="EM58" s="292"/>
      <c r="EN58" s="292"/>
      <c r="EO58" s="292"/>
      <c r="EP58" s="292"/>
      <c r="EQ58" s="292"/>
      <c r="ER58" s="292"/>
      <c r="ES58" s="292"/>
      <c r="ET58" s="292"/>
      <c r="EU58" s="292"/>
      <c r="EV58" s="292"/>
      <c r="EW58" s="292"/>
      <c r="EX58" s="292"/>
      <c r="FA58" s="292"/>
      <c r="FB58" s="292"/>
      <c r="FC58" s="292"/>
      <c r="FD58" s="292"/>
      <c r="FE58" s="292"/>
      <c r="FF58" s="292"/>
      <c r="FG58" s="292"/>
      <c r="FH58" s="292"/>
      <c r="FI58" s="292"/>
      <c r="FJ58" s="292"/>
      <c r="FK58" s="292"/>
      <c r="FL58" s="292"/>
      <c r="FM58" s="292"/>
      <c r="FN58" s="292"/>
      <c r="FO58" s="292"/>
      <c r="FP58" s="292"/>
      <c r="FQ58" s="292"/>
      <c r="FR58" s="292"/>
      <c r="FS58" s="292"/>
      <c r="FT58" s="292"/>
      <c r="FU58" s="292"/>
      <c r="FV58" s="292"/>
      <c r="FW58" s="292"/>
      <c r="FX58" s="292"/>
      <c r="FY58" s="292"/>
      <c r="FZ58" s="292"/>
      <c r="GA58" s="292"/>
      <c r="GB58" s="292"/>
      <c r="GC58" s="292"/>
      <c r="GD58" s="292"/>
      <c r="GE58" s="292"/>
      <c r="GF58" s="292"/>
      <c r="GG58" s="292"/>
      <c r="GH58" s="292"/>
      <c r="GI58" s="292"/>
      <c r="GJ58" s="292"/>
      <c r="GK58" s="292"/>
      <c r="GL58" s="292"/>
      <c r="GM58" s="292"/>
      <c r="GN58" s="292"/>
      <c r="GO58" s="292"/>
      <c r="GP58" s="292"/>
      <c r="GQ58" s="292"/>
      <c r="GR58" s="292"/>
      <c r="GS58" s="292"/>
      <c r="GT58" s="292"/>
      <c r="GU58" s="292"/>
      <c r="GV58" s="292"/>
      <c r="GW58" s="292"/>
      <c r="GX58" s="292"/>
      <c r="GY58" s="292"/>
      <c r="GZ58" s="292"/>
      <c r="HA58" s="292"/>
      <c r="HB58" s="292"/>
      <c r="HC58" s="292"/>
      <c r="HD58" s="292"/>
      <c r="HE58" s="292"/>
      <c r="HF58" s="292"/>
      <c r="HG58" s="292"/>
      <c r="HH58" s="292"/>
      <c r="HI58" s="292"/>
      <c r="HJ58" s="292"/>
      <c r="HK58" s="292"/>
      <c r="HL58" s="292"/>
      <c r="HM58" s="292"/>
      <c r="HN58" s="292"/>
      <c r="HO58" s="292"/>
      <c r="HP58" s="292"/>
      <c r="HQ58" s="292"/>
      <c r="HR58" s="292"/>
      <c r="HS58" s="292"/>
      <c r="HT58" s="292"/>
      <c r="HU58" s="292"/>
      <c r="HV58" s="292"/>
      <c r="HW58" s="292"/>
      <c r="HX58" s="292"/>
      <c r="HY58" s="292"/>
      <c r="HZ58" s="292"/>
      <c r="IA58" s="292"/>
      <c r="IB58" s="292"/>
      <c r="IC58" s="292"/>
      <c r="ID58" s="292"/>
      <c r="IE58" s="292"/>
      <c r="IF58" s="292"/>
      <c r="IG58" s="292"/>
      <c r="IH58" s="292"/>
      <c r="II58" s="292"/>
      <c r="IJ58" s="292"/>
      <c r="IK58" s="292"/>
      <c r="IL58" s="292"/>
      <c r="IM58" s="292"/>
      <c r="IN58" s="292"/>
      <c r="IO58" s="292"/>
      <c r="IP58" s="292"/>
      <c r="IQ58" s="292"/>
      <c r="IR58" s="292"/>
      <c r="IS58" s="292"/>
      <c r="IT58" s="292"/>
      <c r="IU58" s="292"/>
      <c r="IV58" s="292"/>
      <c r="IW58" s="292"/>
      <c r="IX58" s="292"/>
      <c r="IY58" s="292"/>
      <c r="IZ58" s="292"/>
      <c r="JA58" s="292"/>
      <c r="JB58" s="292"/>
      <c r="JC58" s="292"/>
      <c r="JD58" s="292"/>
      <c r="JE58" s="292"/>
      <c r="JF58" s="292"/>
      <c r="JG58" s="292"/>
      <c r="JH58" s="292"/>
      <c r="JI58" s="292"/>
      <c r="JJ58" s="292"/>
      <c r="JK58" s="292"/>
      <c r="JL58" s="292"/>
      <c r="JM58" s="292"/>
      <c r="JN58" s="292"/>
      <c r="JO58" s="292"/>
      <c r="JP58" s="292"/>
      <c r="JQ58" s="292"/>
      <c r="JR58" s="292"/>
      <c r="JS58" s="292"/>
      <c r="JT58" s="292"/>
      <c r="JU58" s="292"/>
      <c r="JV58" s="292"/>
      <c r="JW58" s="292"/>
      <c r="JX58" s="292"/>
      <c r="JY58" s="292"/>
      <c r="JZ58" s="292"/>
      <c r="KA58" s="292"/>
      <c r="KB58" s="292"/>
      <c r="KC58" s="292"/>
      <c r="KD58" s="292"/>
      <c r="KE58" s="292"/>
      <c r="KF58" s="292"/>
      <c r="KG58" s="292"/>
      <c r="KH58" s="292"/>
      <c r="KI58" s="292"/>
      <c r="KJ58" s="292"/>
      <c r="KK58" s="292"/>
      <c r="KL58" s="292"/>
      <c r="KM58" s="292"/>
      <c r="KN58" s="292"/>
      <c r="KO58" s="292"/>
      <c r="KP58" s="292"/>
      <c r="KQ58" s="292"/>
      <c r="KR58" s="292"/>
      <c r="KS58" s="292"/>
      <c r="KT58" s="292"/>
      <c r="KU58" s="292"/>
      <c r="KV58" s="292"/>
      <c r="KW58" s="292"/>
      <c r="KX58" s="292"/>
      <c r="KY58" s="292"/>
      <c r="KZ58" s="292"/>
      <c r="LA58" s="292"/>
      <c r="LB58" s="292"/>
      <c r="LC58" s="292"/>
      <c r="LD58" s="292"/>
      <c r="LE58" s="292"/>
      <c r="LF58" s="292"/>
      <c r="LG58" s="292"/>
      <c r="LH58" s="292"/>
      <c r="LI58" s="292"/>
      <c r="LJ58" s="292"/>
      <c r="LK58" s="292"/>
      <c r="LL58" s="292"/>
      <c r="LM58" s="292"/>
      <c r="LN58" s="292"/>
      <c r="LO58" s="292"/>
      <c r="LP58" s="292"/>
      <c r="LQ58" s="292"/>
      <c r="LR58" s="292"/>
      <c r="LS58" s="292"/>
      <c r="LT58" s="292"/>
      <c r="LU58" s="292"/>
      <c r="LV58" s="292"/>
      <c r="LW58" s="292"/>
      <c r="LX58" s="292"/>
      <c r="LY58" s="292"/>
      <c r="LZ58" s="292"/>
      <c r="MA58" s="292"/>
      <c r="MB58" s="292"/>
      <c r="MC58" s="292"/>
      <c r="MD58" s="292"/>
      <c r="ME58" s="292"/>
      <c r="MF58" s="292"/>
      <c r="MG58" s="292"/>
      <c r="MH58" s="292"/>
      <c r="MI58" s="292"/>
      <c r="MJ58" s="292"/>
      <c r="MK58" s="292"/>
      <c r="ML58" s="292"/>
      <c r="MM58" s="292"/>
      <c r="MN58" s="292"/>
      <c r="MO58" s="292"/>
      <c r="MP58" s="292"/>
      <c r="MQ58" s="292"/>
      <c r="MR58" s="292"/>
      <c r="MS58" s="292"/>
      <c r="MT58" s="292"/>
      <c r="MU58" s="292"/>
      <c r="MV58" s="292"/>
      <c r="MW58" s="292"/>
      <c r="MX58" s="292"/>
      <c r="MY58" s="292"/>
      <c r="MZ58" s="292"/>
      <c r="NA58" s="292"/>
      <c r="NB58" s="292"/>
      <c r="NC58" s="292"/>
      <c r="ND58" s="292"/>
      <c r="NE58" s="292"/>
      <c r="NF58" s="292"/>
      <c r="NG58" s="292"/>
      <c r="NH58" s="292"/>
      <c r="NI58" s="292"/>
      <c r="NJ58" s="292"/>
      <c r="NK58" s="292"/>
      <c r="NL58" s="292"/>
      <c r="NM58" s="292"/>
      <c r="NN58" s="292"/>
      <c r="NO58" s="292"/>
      <c r="NP58" s="292"/>
      <c r="NQ58" s="292"/>
      <c r="NR58" s="292"/>
      <c r="NS58" s="292"/>
      <c r="NT58" s="292"/>
      <c r="NU58" s="292"/>
      <c r="NV58" s="292"/>
      <c r="NW58" s="292"/>
      <c r="NX58" s="292"/>
      <c r="NY58" s="568"/>
      <c r="NZ58" s="568"/>
      <c r="OA58" s="575"/>
      <c r="OB58" s="575"/>
      <c r="OC58" s="578"/>
      <c r="OD58" s="578"/>
    </row>
    <row r="59" spans="1:396" s="20" customFormat="1" ht="10.5" customHeight="1">
      <c r="A59" s="12"/>
      <c r="B59" s="12"/>
      <c r="C59" s="12"/>
      <c r="F59" s="17"/>
      <c r="I59" s="17"/>
      <c r="J59" s="13"/>
      <c r="K59" s="23"/>
      <c r="L59" s="17"/>
      <c r="M59" s="39"/>
      <c r="N59" s="23"/>
      <c r="O59" s="17"/>
      <c r="P59" s="23"/>
      <c r="Q59" s="23"/>
      <c r="R59" s="17"/>
      <c r="S59" s="23"/>
      <c r="T59" s="34"/>
      <c r="U59" s="17"/>
      <c r="V59" s="23"/>
      <c r="X59" s="17"/>
      <c r="AA59" s="17"/>
      <c r="AD59" s="17"/>
      <c r="AG59" s="17"/>
      <c r="AJ59" s="17"/>
      <c r="AM59" s="17"/>
      <c r="CA59" s="29"/>
      <c r="CB59" s="30"/>
      <c r="CC59" s="22"/>
      <c r="CD59" s="22"/>
      <c r="CE59" s="22"/>
      <c r="CF59" s="27"/>
      <c r="CG59" s="22"/>
      <c r="CH59" s="52"/>
      <c r="CI59" s="52"/>
      <c r="CJ59" s="52"/>
      <c r="CK59" s="52"/>
      <c r="CL59" s="52"/>
      <c r="CM59" s="52"/>
      <c r="CN59" s="17"/>
      <c r="CO59" s="17"/>
      <c r="CP59" s="17"/>
      <c r="CQ59" s="17"/>
      <c r="CR59" s="17"/>
      <c r="CS59" s="17"/>
      <c r="CT59" s="17"/>
      <c r="CU59" s="17"/>
      <c r="CV59" s="17"/>
      <c r="CW59" s="17"/>
      <c r="CX59" s="17"/>
      <c r="CY59" s="17"/>
      <c r="CZ59" s="17"/>
      <c r="EG59" s="292"/>
      <c r="EH59" s="292"/>
      <c r="EI59" s="292"/>
      <c r="EJ59" s="292"/>
      <c r="EK59" s="292"/>
      <c r="EL59" s="292"/>
      <c r="EM59" s="292"/>
      <c r="EN59" s="292"/>
      <c r="EO59" s="292"/>
      <c r="EP59" s="292"/>
      <c r="EQ59" s="292"/>
      <c r="ER59" s="292"/>
      <c r="ES59" s="292"/>
      <c r="ET59" s="292"/>
      <c r="EU59" s="292"/>
      <c r="EV59" s="292"/>
      <c r="EW59" s="292"/>
      <c r="EX59" s="292"/>
      <c r="FA59" s="292"/>
      <c r="FB59" s="292"/>
      <c r="FC59" s="292"/>
      <c r="FD59" s="292"/>
      <c r="FE59" s="292"/>
      <c r="FF59" s="292"/>
      <c r="FG59" s="292"/>
      <c r="FH59" s="292"/>
      <c r="FI59" s="292"/>
      <c r="FJ59" s="292"/>
      <c r="FK59" s="292"/>
      <c r="FL59" s="292"/>
      <c r="FM59" s="292"/>
      <c r="FN59" s="292"/>
      <c r="FO59" s="292"/>
      <c r="FP59" s="292"/>
      <c r="FQ59" s="292"/>
      <c r="FR59" s="292"/>
      <c r="FS59" s="292"/>
      <c r="FT59" s="292"/>
      <c r="FU59" s="292"/>
      <c r="FV59" s="292"/>
      <c r="FW59" s="292"/>
      <c r="FX59" s="292"/>
      <c r="FY59" s="292"/>
      <c r="FZ59" s="292"/>
      <c r="GA59" s="292"/>
      <c r="GB59" s="292"/>
      <c r="GC59" s="292"/>
      <c r="GD59" s="292"/>
      <c r="GE59" s="292"/>
      <c r="GF59" s="292"/>
      <c r="GG59" s="292"/>
      <c r="GH59" s="292"/>
      <c r="GI59" s="292"/>
      <c r="GJ59" s="292"/>
      <c r="GK59" s="292"/>
      <c r="GL59" s="292"/>
      <c r="GM59" s="292"/>
      <c r="GN59" s="292"/>
      <c r="GO59" s="292"/>
      <c r="GP59" s="292"/>
      <c r="GQ59" s="292"/>
      <c r="GR59" s="292"/>
      <c r="GS59" s="292"/>
      <c r="GT59" s="292"/>
      <c r="GU59" s="292"/>
      <c r="GV59" s="292"/>
      <c r="GW59" s="292"/>
      <c r="GX59" s="292"/>
      <c r="GY59" s="292"/>
      <c r="GZ59" s="292"/>
      <c r="HA59" s="292"/>
      <c r="HB59" s="292"/>
      <c r="HC59" s="292"/>
      <c r="HD59" s="292"/>
      <c r="HE59" s="292"/>
      <c r="HF59" s="292"/>
      <c r="HG59" s="292"/>
      <c r="HH59" s="292"/>
      <c r="HI59" s="292"/>
      <c r="HJ59" s="292"/>
      <c r="HK59" s="292"/>
      <c r="HL59" s="292"/>
      <c r="HM59" s="292"/>
      <c r="HN59" s="292"/>
      <c r="HO59" s="292"/>
      <c r="HP59" s="292"/>
      <c r="HQ59" s="292"/>
      <c r="HR59" s="292"/>
      <c r="HS59" s="292"/>
      <c r="HT59" s="292"/>
      <c r="HU59" s="292"/>
      <c r="HV59" s="292"/>
      <c r="HW59" s="292"/>
      <c r="HX59" s="292"/>
      <c r="HY59" s="292"/>
      <c r="HZ59" s="292"/>
      <c r="IA59" s="292"/>
      <c r="IB59" s="292"/>
      <c r="IC59" s="292"/>
      <c r="ID59" s="292"/>
      <c r="IE59" s="292"/>
      <c r="IF59" s="292"/>
      <c r="IG59" s="292"/>
      <c r="IH59" s="292"/>
      <c r="II59" s="292"/>
      <c r="IJ59" s="292"/>
      <c r="IK59" s="292"/>
      <c r="IL59" s="292"/>
      <c r="IM59" s="292"/>
      <c r="IN59" s="292"/>
      <c r="IO59" s="292"/>
      <c r="IP59" s="292"/>
      <c r="IQ59" s="292"/>
      <c r="IR59" s="292"/>
      <c r="IS59" s="292"/>
      <c r="IT59" s="292"/>
      <c r="IU59" s="292"/>
      <c r="IV59" s="292"/>
      <c r="IW59" s="292"/>
      <c r="IX59" s="292"/>
      <c r="IY59" s="292"/>
      <c r="IZ59" s="292"/>
      <c r="JA59" s="292"/>
      <c r="JB59" s="292"/>
      <c r="JC59" s="292"/>
      <c r="JD59" s="292"/>
      <c r="JE59" s="292"/>
      <c r="JF59" s="292"/>
      <c r="JG59" s="292"/>
      <c r="JH59" s="292"/>
      <c r="JI59" s="292"/>
      <c r="JJ59" s="292"/>
      <c r="JK59" s="292"/>
      <c r="JL59" s="292"/>
      <c r="JM59" s="292"/>
      <c r="JN59" s="292"/>
      <c r="JO59" s="292"/>
      <c r="JP59" s="292"/>
      <c r="JQ59" s="292"/>
      <c r="JR59" s="292"/>
      <c r="JS59" s="292"/>
      <c r="JT59" s="292"/>
      <c r="JU59" s="292"/>
      <c r="JV59" s="292"/>
      <c r="JW59" s="292"/>
      <c r="JX59" s="292"/>
      <c r="JY59" s="292"/>
      <c r="JZ59" s="292"/>
      <c r="KA59" s="292"/>
      <c r="KB59" s="292"/>
      <c r="KC59" s="292"/>
      <c r="KD59" s="292"/>
      <c r="KE59" s="292"/>
      <c r="KF59" s="292"/>
      <c r="KG59" s="292"/>
      <c r="KH59" s="292"/>
      <c r="KI59" s="292"/>
      <c r="KJ59" s="292"/>
      <c r="KK59" s="292"/>
      <c r="KL59" s="292"/>
      <c r="KM59" s="292"/>
      <c r="KN59" s="292"/>
      <c r="KO59" s="292"/>
      <c r="KP59" s="292"/>
      <c r="KQ59" s="292"/>
      <c r="KR59" s="292"/>
      <c r="KS59" s="292"/>
      <c r="KT59" s="292"/>
      <c r="KU59" s="292"/>
      <c r="KV59" s="292"/>
      <c r="KW59" s="292"/>
      <c r="KX59" s="292"/>
      <c r="KY59" s="292"/>
      <c r="KZ59" s="292"/>
      <c r="LA59" s="292"/>
      <c r="LB59" s="292"/>
      <c r="LC59" s="292"/>
      <c r="LD59" s="292"/>
      <c r="LE59" s="292"/>
      <c r="LF59" s="292"/>
      <c r="LG59" s="292"/>
      <c r="LH59" s="292"/>
      <c r="LI59" s="292"/>
      <c r="LJ59" s="292"/>
      <c r="LK59" s="292"/>
      <c r="LL59" s="292"/>
      <c r="LM59" s="292"/>
      <c r="LN59" s="292"/>
      <c r="LO59" s="292"/>
      <c r="LP59" s="292"/>
      <c r="LQ59" s="292"/>
      <c r="LR59" s="292"/>
      <c r="LS59" s="292"/>
      <c r="LT59" s="292"/>
      <c r="LU59" s="292"/>
      <c r="LV59" s="292"/>
      <c r="LW59" s="292"/>
      <c r="LX59" s="292"/>
      <c r="LY59" s="292"/>
      <c r="LZ59" s="292"/>
      <c r="MA59" s="292"/>
      <c r="MB59" s="292"/>
      <c r="MC59" s="292"/>
      <c r="MD59" s="292"/>
      <c r="ME59" s="292"/>
      <c r="MF59" s="292"/>
      <c r="MG59" s="292"/>
      <c r="MH59" s="292"/>
      <c r="MI59" s="292"/>
      <c r="MJ59" s="292"/>
      <c r="MK59" s="292"/>
      <c r="ML59" s="292"/>
      <c r="MM59" s="292"/>
      <c r="MN59" s="292"/>
      <c r="MO59" s="292"/>
      <c r="MP59" s="292"/>
      <c r="MQ59" s="292"/>
      <c r="MR59" s="292"/>
      <c r="MS59" s="292"/>
      <c r="MT59" s="292"/>
      <c r="MU59" s="292"/>
      <c r="MV59" s="292"/>
      <c r="MW59" s="292"/>
      <c r="MX59" s="292"/>
      <c r="MY59" s="292"/>
      <c r="MZ59" s="292"/>
      <c r="NA59" s="292"/>
      <c r="NB59" s="292"/>
      <c r="NC59" s="292"/>
      <c r="ND59" s="292"/>
      <c r="NE59" s="292"/>
      <c r="NF59" s="292"/>
      <c r="NG59" s="292"/>
      <c r="NH59" s="292"/>
      <c r="NI59" s="292"/>
      <c r="NJ59" s="292"/>
      <c r="NK59" s="292"/>
      <c r="NL59" s="292"/>
      <c r="NM59" s="292"/>
      <c r="NN59" s="292"/>
      <c r="NO59" s="292"/>
      <c r="NP59" s="292"/>
      <c r="NQ59" s="292"/>
      <c r="NR59" s="292"/>
      <c r="NS59" s="292"/>
      <c r="NT59" s="292"/>
      <c r="NU59" s="292"/>
      <c r="NV59" s="292"/>
      <c r="NW59" s="292"/>
      <c r="NX59" s="292"/>
      <c r="NY59" s="568"/>
      <c r="NZ59" s="568"/>
      <c r="OA59" s="575"/>
      <c r="OB59" s="575"/>
      <c r="OC59" s="578"/>
      <c r="OD59" s="578"/>
    </row>
    <row r="60" spans="1:396" s="20" customFormat="1" ht="10.5" customHeight="1">
      <c r="A60" s="12"/>
      <c r="B60" s="12"/>
      <c r="C60" s="12"/>
      <c r="F60" s="17"/>
      <c r="I60" s="17"/>
      <c r="J60" s="13"/>
      <c r="K60" s="23"/>
      <c r="L60" s="17"/>
      <c r="M60" s="39"/>
      <c r="N60" s="23"/>
      <c r="O60" s="17"/>
      <c r="P60" s="29"/>
      <c r="Q60" s="23"/>
      <c r="R60" s="17"/>
      <c r="S60" s="23"/>
      <c r="T60" s="34"/>
      <c r="U60" s="17"/>
      <c r="V60" s="23"/>
      <c r="X60" s="17"/>
      <c r="AA60" s="17"/>
      <c r="AD60" s="17"/>
      <c r="AG60" s="17"/>
      <c r="AJ60" s="17"/>
      <c r="AM60" s="17"/>
      <c r="BW60" s="111"/>
      <c r="CA60" s="29"/>
      <c r="CB60" s="30"/>
      <c r="CC60" s="22"/>
      <c r="CD60" s="22"/>
      <c r="CE60" s="22"/>
      <c r="CF60" s="158"/>
      <c r="CG60" s="22"/>
      <c r="CH60" s="52"/>
      <c r="CI60" s="52"/>
      <c r="CJ60" s="52"/>
      <c r="CK60" s="52"/>
      <c r="CL60" s="52"/>
      <c r="CM60" s="52"/>
      <c r="CN60" s="17"/>
      <c r="CO60" s="17"/>
      <c r="CP60" s="17"/>
      <c r="CQ60" s="17"/>
      <c r="CR60" s="17"/>
      <c r="CS60" s="17"/>
      <c r="CT60" s="17"/>
      <c r="CU60" s="17"/>
      <c r="CV60" s="17"/>
      <c r="CW60" s="17"/>
      <c r="CX60" s="17"/>
      <c r="CY60" s="17"/>
      <c r="CZ60" s="17"/>
      <c r="EG60" s="292"/>
      <c r="EH60" s="292"/>
      <c r="EI60" s="292"/>
      <c r="EJ60" s="292"/>
      <c r="EK60" s="292"/>
      <c r="EL60" s="292"/>
      <c r="EM60" s="292"/>
      <c r="EN60" s="292"/>
      <c r="EO60" s="292"/>
      <c r="EP60" s="292"/>
      <c r="EQ60" s="292"/>
      <c r="ER60" s="292"/>
      <c r="ES60" s="292"/>
      <c r="ET60" s="292"/>
      <c r="EU60" s="292"/>
      <c r="EV60" s="292"/>
      <c r="EW60" s="292"/>
      <c r="EX60" s="292"/>
      <c r="FA60" s="292"/>
      <c r="FB60" s="292"/>
      <c r="FC60" s="292"/>
      <c r="FD60" s="292"/>
      <c r="FE60" s="292"/>
      <c r="FF60" s="292"/>
      <c r="FG60" s="292"/>
      <c r="FH60" s="292"/>
      <c r="FI60" s="292"/>
      <c r="FJ60" s="292"/>
      <c r="FK60" s="292"/>
      <c r="FL60" s="292"/>
      <c r="FM60" s="292"/>
      <c r="FN60" s="292"/>
      <c r="FO60" s="292"/>
      <c r="FP60" s="292"/>
      <c r="FQ60" s="292"/>
      <c r="FR60" s="292"/>
      <c r="FS60" s="292"/>
      <c r="FT60" s="292"/>
      <c r="FU60" s="292"/>
      <c r="FV60" s="292"/>
      <c r="FW60" s="292"/>
      <c r="FX60" s="292"/>
      <c r="FY60" s="292"/>
      <c r="FZ60" s="292"/>
      <c r="GA60" s="292"/>
      <c r="GB60" s="292"/>
      <c r="GC60" s="292"/>
      <c r="GD60" s="292"/>
      <c r="GE60" s="292"/>
      <c r="GF60" s="292"/>
      <c r="GG60" s="292"/>
      <c r="GH60" s="292"/>
      <c r="GI60" s="292"/>
      <c r="GJ60" s="292"/>
      <c r="GK60" s="292"/>
      <c r="GL60" s="292"/>
      <c r="GM60" s="292"/>
      <c r="GN60" s="292"/>
      <c r="GO60" s="292"/>
      <c r="GP60" s="292"/>
      <c r="GQ60" s="292"/>
      <c r="GR60" s="292"/>
      <c r="GS60" s="292"/>
      <c r="GT60" s="292"/>
      <c r="GU60" s="292"/>
      <c r="GV60" s="292"/>
      <c r="GW60" s="292"/>
      <c r="GX60" s="292"/>
      <c r="GY60" s="292"/>
      <c r="GZ60" s="292"/>
      <c r="HA60" s="292"/>
      <c r="HB60" s="292"/>
      <c r="HC60" s="292"/>
      <c r="HD60" s="292"/>
      <c r="HE60" s="292"/>
      <c r="HF60" s="292"/>
      <c r="HG60" s="292"/>
      <c r="HH60" s="292"/>
      <c r="HI60" s="292"/>
      <c r="HJ60" s="292"/>
      <c r="HK60" s="292"/>
      <c r="HL60" s="292"/>
      <c r="HM60" s="292"/>
      <c r="HN60" s="292"/>
      <c r="HO60" s="292"/>
      <c r="HP60" s="292"/>
      <c r="HQ60" s="292"/>
      <c r="HR60" s="292"/>
      <c r="HS60" s="292"/>
      <c r="HT60" s="292"/>
      <c r="HU60" s="292"/>
      <c r="HV60" s="292"/>
      <c r="HW60" s="292"/>
      <c r="HX60" s="292"/>
      <c r="HY60" s="292"/>
      <c r="HZ60" s="292"/>
      <c r="IA60" s="292"/>
      <c r="IB60" s="292"/>
      <c r="IC60" s="292"/>
      <c r="ID60" s="292"/>
      <c r="IE60" s="292"/>
      <c r="IF60" s="292"/>
      <c r="IG60" s="292"/>
      <c r="IH60" s="292"/>
      <c r="II60" s="292"/>
      <c r="IJ60" s="292"/>
      <c r="IK60" s="292"/>
      <c r="IL60" s="292"/>
      <c r="IM60" s="292"/>
      <c r="IN60" s="292"/>
      <c r="IO60" s="292"/>
      <c r="IP60" s="292"/>
      <c r="IQ60" s="292"/>
      <c r="IR60" s="292"/>
      <c r="IS60" s="292"/>
      <c r="IT60" s="292"/>
      <c r="IU60" s="292"/>
      <c r="IV60" s="292"/>
      <c r="IW60" s="292"/>
      <c r="IX60" s="292"/>
      <c r="IY60" s="292"/>
      <c r="IZ60" s="292"/>
      <c r="JA60" s="292"/>
      <c r="JB60" s="292"/>
      <c r="JC60" s="292"/>
      <c r="JD60" s="292"/>
      <c r="JE60" s="292"/>
      <c r="JF60" s="292"/>
      <c r="JG60" s="292"/>
      <c r="JH60" s="292"/>
      <c r="JI60" s="292"/>
      <c r="JJ60" s="292"/>
      <c r="JK60" s="292"/>
      <c r="JL60" s="292"/>
      <c r="JM60" s="292"/>
      <c r="JN60" s="292"/>
      <c r="JO60" s="292"/>
      <c r="JP60" s="292"/>
      <c r="JQ60" s="292"/>
      <c r="JR60" s="292"/>
      <c r="JS60" s="292"/>
      <c r="JT60" s="292"/>
      <c r="JU60" s="292"/>
      <c r="JV60" s="292"/>
      <c r="JW60" s="292"/>
      <c r="JX60" s="292"/>
      <c r="JY60" s="292"/>
      <c r="JZ60" s="292"/>
      <c r="KA60" s="292"/>
      <c r="KB60" s="292"/>
      <c r="KC60" s="292"/>
      <c r="KD60" s="292"/>
      <c r="KE60" s="292"/>
      <c r="KF60" s="292"/>
      <c r="KG60" s="292"/>
      <c r="KH60" s="292"/>
      <c r="KI60" s="292"/>
      <c r="KJ60" s="292"/>
      <c r="KK60" s="292"/>
      <c r="KL60" s="292"/>
      <c r="KM60" s="292"/>
      <c r="KN60" s="292"/>
      <c r="KO60" s="292"/>
      <c r="KP60" s="292"/>
      <c r="KQ60" s="292"/>
      <c r="KR60" s="292"/>
      <c r="KS60" s="292"/>
      <c r="KT60" s="292"/>
      <c r="KU60" s="292"/>
      <c r="KV60" s="292"/>
      <c r="KW60" s="292"/>
      <c r="KX60" s="292"/>
      <c r="KY60" s="292"/>
      <c r="KZ60" s="292"/>
      <c r="LA60" s="292"/>
      <c r="LB60" s="292"/>
      <c r="LC60" s="292"/>
      <c r="LD60" s="292"/>
      <c r="LE60" s="292"/>
      <c r="LF60" s="292"/>
      <c r="LG60" s="292"/>
      <c r="LH60" s="292"/>
      <c r="LI60" s="292"/>
      <c r="LJ60" s="292"/>
      <c r="LK60" s="292"/>
      <c r="LL60" s="292"/>
      <c r="LM60" s="292"/>
      <c r="LN60" s="292"/>
      <c r="LO60" s="292"/>
      <c r="LP60" s="292"/>
      <c r="LQ60" s="292"/>
      <c r="LR60" s="292"/>
      <c r="LS60" s="292"/>
      <c r="LT60" s="292"/>
      <c r="LU60" s="292"/>
      <c r="LV60" s="292"/>
      <c r="LW60" s="292"/>
      <c r="LX60" s="292"/>
      <c r="LY60" s="292"/>
      <c r="LZ60" s="292"/>
      <c r="MA60" s="292"/>
      <c r="MB60" s="292"/>
      <c r="MC60" s="292"/>
      <c r="MD60" s="292"/>
      <c r="ME60" s="292"/>
      <c r="MF60" s="292"/>
      <c r="MG60" s="292"/>
      <c r="MH60" s="292"/>
      <c r="MI60" s="292"/>
      <c r="MJ60" s="292"/>
      <c r="MK60" s="292"/>
      <c r="ML60" s="292"/>
      <c r="MM60" s="292"/>
      <c r="MN60" s="292"/>
      <c r="MO60" s="292"/>
      <c r="MP60" s="292"/>
      <c r="MQ60" s="292"/>
      <c r="MR60" s="292"/>
      <c r="MS60" s="292"/>
      <c r="MT60" s="292"/>
      <c r="MU60" s="292"/>
      <c r="MV60" s="292"/>
      <c r="MW60" s="292"/>
      <c r="MX60" s="292"/>
      <c r="MY60" s="292"/>
      <c r="MZ60" s="292"/>
      <c r="NA60" s="292"/>
      <c r="NB60" s="292"/>
      <c r="NC60" s="292"/>
      <c r="ND60" s="292"/>
      <c r="NE60" s="292"/>
      <c r="NF60" s="292"/>
      <c r="NG60" s="292"/>
      <c r="NH60" s="292"/>
      <c r="NI60" s="292"/>
      <c r="NJ60" s="292"/>
      <c r="NK60" s="292"/>
      <c r="NL60" s="292"/>
      <c r="NM60" s="292"/>
      <c r="NN60" s="292"/>
      <c r="NO60" s="292"/>
      <c r="NP60" s="292"/>
      <c r="NQ60" s="292"/>
      <c r="NR60" s="292"/>
      <c r="NS60" s="292"/>
      <c r="NT60" s="292"/>
      <c r="NU60" s="292"/>
      <c r="NV60" s="292"/>
      <c r="NW60" s="292"/>
      <c r="NX60" s="292"/>
      <c r="NY60" s="568"/>
      <c r="NZ60" s="568"/>
      <c r="OA60" s="575"/>
      <c r="OB60" s="575"/>
      <c r="OC60" s="578"/>
      <c r="OD60" s="578"/>
    </row>
    <row r="61" spans="1:396" s="20" customFormat="1" ht="10.5" customHeight="1">
      <c r="A61" s="12"/>
      <c r="B61" s="12"/>
      <c r="C61" s="12"/>
      <c r="F61" s="17"/>
      <c r="I61" s="17"/>
      <c r="J61" s="13"/>
      <c r="K61" s="23"/>
      <c r="L61" s="17"/>
      <c r="M61" s="39"/>
      <c r="N61" s="23"/>
      <c r="O61" s="17"/>
      <c r="P61" s="23"/>
      <c r="Q61" s="23"/>
      <c r="R61" s="17"/>
      <c r="S61" s="23"/>
      <c r="T61" s="34"/>
      <c r="U61" s="17"/>
      <c r="V61" s="23"/>
      <c r="X61" s="17"/>
      <c r="AA61" s="17"/>
      <c r="AD61" s="17"/>
      <c r="AG61" s="17"/>
      <c r="AJ61" s="17"/>
      <c r="AM61" s="17"/>
      <c r="CA61" s="29"/>
      <c r="CB61" s="30"/>
      <c r="CC61" s="30"/>
      <c r="CD61" s="30"/>
      <c r="CE61" s="30"/>
      <c r="CF61" s="30"/>
      <c r="CG61" s="30"/>
      <c r="CH61" s="30"/>
      <c r="CI61" s="30"/>
      <c r="EG61" s="292"/>
      <c r="EH61" s="292"/>
      <c r="EI61" s="292"/>
      <c r="EJ61" s="292"/>
      <c r="EK61" s="292"/>
      <c r="EL61" s="292"/>
      <c r="EM61" s="292"/>
      <c r="EN61" s="292"/>
      <c r="EO61" s="292"/>
      <c r="EP61" s="292"/>
      <c r="EQ61" s="292"/>
      <c r="ER61" s="292"/>
      <c r="ES61" s="292"/>
      <c r="ET61" s="292"/>
      <c r="EU61" s="292"/>
      <c r="EV61" s="292"/>
      <c r="EW61" s="292"/>
      <c r="EX61" s="292"/>
      <c r="FA61" s="292"/>
      <c r="FB61" s="292"/>
      <c r="FC61" s="292"/>
      <c r="FD61" s="292"/>
      <c r="FE61" s="292"/>
      <c r="FF61" s="292"/>
      <c r="FG61" s="292"/>
      <c r="FH61" s="292"/>
      <c r="FI61" s="292"/>
      <c r="FJ61" s="292"/>
      <c r="FK61" s="292"/>
      <c r="FL61" s="292"/>
      <c r="FM61" s="292"/>
      <c r="FN61" s="292"/>
      <c r="FO61" s="292"/>
      <c r="FP61" s="292"/>
      <c r="FQ61" s="292"/>
      <c r="FR61" s="292"/>
      <c r="FS61" s="292"/>
      <c r="FT61" s="292"/>
      <c r="FU61" s="292"/>
      <c r="FV61" s="292"/>
      <c r="FW61" s="292"/>
      <c r="FX61" s="292"/>
      <c r="FY61" s="292"/>
      <c r="FZ61" s="292"/>
      <c r="GA61" s="292"/>
      <c r="GB61" s="292"/>
      <c r="GC61" s="292"/>
      <c r="GD61" s="292"/>
      <c r="GE61" s="292"/>
      <c r="GF61" s="292"/>
      <c r="GG61" s="292"/>
      <c r="GH61" s="292"/>
      <c r="GI61" s="292"/>
      <c r="GJ61" s="292"/>
      <c r="GK61" s="292"/>
      <c r="GL61" s="292"/>
      <c r="GM61" s="292"/>
      <c r="GN61" s="292"/>
      <c r="GO61" s="292"/>
      <c r="GP61" s="292"/>
      <c r="GQ61" s="292"/>
      <c r="GR61" s="292"/>
      <c r="GS61" s="292"/>
      <c r="GT61" s="292"/>
      <c r="GU61" s="292"/>
      <c r="GV61" s="292"/>
      <c r="GW61" s="292"/>
      <c r="GX61" s="292"/>
      <c r="GY61" s="292"/>
      <c r="GZ61" s="292"/>
      <c r="HA61" s="292"/>
      <c r="HB61" s="292"/>
      <c r="HC61" s="292"/>
      <c r="HD61" s="292"/>
      <c r="HE61" s="292"/>
      <c r="HF61" s="292"/>
      <c r="HG61" s="292"/>
      <c r="HH61" s="292"/>
      <c r="HI61" s="292"/>
      <c r="HJ61" s="292"/>
      <c r="HK61" s="292"/>
      <c r="HL61" s="292"/>
      <c r="HM61" s="292"/>
      <c r="HN61" s="292"/>
      <c r="HO61" s="292"/>
      <c r="HP61" s="292"/>
      <c r="HQ61" s="292"/>
      <c r="HR61" s="292"/>
      <c r="HS61" s="292"/>
      <c r="HT61" s="292"/>
      <c r="HU61" s="292"/>
      <c r="HV61" s="292"/>
      <c r="HW61" s="292"/>
      <c r="HX61" s="292"/>
      <c r="HY61" s="292"/>
      <c r="HZ61" s="292"/>
      <c r="IA61" s="292"/>
      <c r="IB61" s="292"/>
      <c r="IC61" s="292"/>
      <c r="ID61" s="292"/>
      <c r="IE61" s="292"/>
      <c r="IF61" s="292"/>
      <c r="IG61" s="292"/>
      <c r="IH61" s="292"/>
      <c r="II61" s="292"/>
      <c r="IJ61" s="292"/>
      <c r="IK61" s="292"/>
      <c r="IL61" s="292"/>
      <c r="IM61" s="292"/>
      <c r="IN61" s="292"/>
      <c r="IO61" s="292"/>
      <c r="IP61" s="292"/>
      <c r="IQ61" s="292"/>
      <c r="IR61" s="292"/>
      <c r="IS61" s="292"/>
      <c r="IT61" s="292"/>
      <c r="IU61" s="292"/>
      <c r="IV61" s="292"/>
      <c r="IW61" s="292"/>
      <c r="IX61" s="292"/>
      <c r="IY61" s="292"/>
      <c r="IZ61" s="292"/>
      <c r="JA61" s="292"/>
      <c r="JB61" s="292"/>
      <c r="JC61" s="292"/>
      <c r="JD61" s="292"/>
      <c r="JE61" s="292"/>
      <c r="JF61" s="292"/>
      <c r="JG61" s="292"/>
      <c r="JH61" s="292"/>
      <c r="JI61" s="292"/>
      <c r="JJ61" s="292"/>
      <c r="JK61" s="292"/>
      <c r="JL61" s="292"/>
      <c r="JM61" s="292"/>
      <c r="JN61" s="292"/>
      <c r="JO61" s="292"/>
      <c r="JP61" s="292"/>
      <c r="JQ61" s="292"/>
      <c r="JR61" s="292"/>
      <c r="JS61" s="292"/>
      <c r="JT61" s="292"/>
      <c r="JU61" s="292"/>
      <c r="JV61" s="292"/>
      <c r="JW61" s="292"/>
      <c r="JX61" s="292"/>
      <c r="JY61" s="292"/>
      <c r="JZ61" s="292"/>
      <c r="KA61" s="292"/>
      <c r="KB61" s="292"/>
      <c r="KC61" s="292"/>
      <c r="KD61" s="292"/>
      <c r="KE61" s="292"/>
      <c r="KF61" s="292"/>
      <c r="KG61" s="292"/>
      <c r="KH61" s="292"/>
      <c r="KI61" s="292"/>
      <c r="KJ61" s="292"/>
      <c r="KK61" s="292"/>
      <c r="KL61" s="292"/>
      <c r="KM61" s="292"/>
      <c r="KN61" s="292"/>
      <c r="KO61" s="292"/>
      <c r="KP61" s="292"/>
      <c r="KQ61" s="292"/>
      <c r="KR61" s="292"/>
      <c r="KS61" s="292"/>
      <c r="KT61" s="292"/>
      <c r="KU61" s="292"/>
      <c r="KV61" s="292"/>
      <c r="KW61" s="292"/>
      <c r="KX61" s="292"/>
      <c r="KY61" s="292"/>
      <c r="KZ61" s="292"/>
      <c r="LA61" s="292"/>
      <c r="LB61" s="292"/>
      <c r="LC61" s="292"/>
      <c r="LD61" s="292"/>
      <c r="LE61" s="292"/>
      <c r="LF61" s="292"/>
      <c r="LG61" s="292"/>
      <c r="LH61" s="292"/>
      <c r="LI61" s="292"/>
      <c r="LJ61" s="292"/>
      <c r="LK61" s="292"/>
      <c r="LL61" s="292"/>
      <c r="LM61" s="292"/>
      <c r="LN61" s="292"/>
      <c r="LO61" s="292"/>
      <c r="LP61" s="292"/>
      <c r="LQ61" s="292"/>
      <c r="LR61" s="292"/>
      <c r="LS61" s="292"/>
      <c r="LT61" s="292"/>
      <c r="LU61" s="292"/>
      <c r="LV61" s="292"/>
      <c r="LW61" s="292"/>
      <c r="LX61" s="292"/>
      <c r="LY61" s="292"/>
      <c r="LZ61" s="292"/>
      <c r="MA61" s="292"/>
      <c r="MB61" s="292"/>
      <c r="MC61" s="292"/>
      <c r="MD61" s="292"/>
      <c r="ME61" s="292"/>
      <c r="MF61" s="292"/>
      <c r="MG61" s="292"/>
      <c r="MH61" s="292"/>
      <c r="MI61" s="292"/>
      <c r="MJ61" s="292"/>
      <c r="MK61" s="292"/>
      <c r="ML61" s="292"/>
      <c r="MM61" s="292"/>
      <c r="MN61" s="292"/>
      <c r="MO61" s="292"/>
      <c r="MP61" s="292"/>
      <c r="MQ61" s="292"/>
      <c r="MR61" s="292"/>
      <c r="MS61" s="292"/>
      <c r="MT61" s="292"/>
      <c r="MU61" s="292"/>
      <c r="MV61" s="292"/>
      <c r="MW61" s="292"/>
      <c r="MX61" s="292"/>
      <c r="MY61" s="292"/>
      <c r="MZ61" s="292"/>
      <c r="NA61" s="292"/>
      <c r="NB61" s="292"/>
      <c r="NC61" s="292"/>
      <c r="ND61" s="292"/>
      <c r="NE61" s="292"/>
      <c r="NF61" s="292"/>
      <c r="NG61" s="292"/>
      <c r="NH61" s="292"/>
      <c r="NI61" s="292"/>
      <c r="NJ61" s="292"/>
      <c r="NK61" s="292"/>
      <c r="NL61" s="292"/>
      <c r="NM61" s="292"/>
      <c r="NN61" s="292"/>
      <c r="NO61" s="292"/>
      <c r="NP61" s="292"/>
      <c r="NQ61" s="292"/>
      <c r="NR61" s="292"/>
      <c r="NS61" s="292"/>
      <c r="NT61" s="292"/>
      <c r="NU61" s="292"/>
      <c r="NV61" s="292"/>
      <c r="NW61" s="292"/>
      <c r="NX61" s="292"/>
      <c r="NY61" s="568"/>
      <c r="NZ61" s="568"/>
      <c r="OA61" s="575"/>
      <c r="OB61" s="575"/>
      <c r="OC61" s="578"/>
      <c r="OD61" s="578"/>
    </row>
    <row r="62" spans="1:396" s="20" customFormat="1" ht="10.5" customHeight="1">
      <c r="A62" s="12"/>
      <c r="B62" s="12"/>
      <c r="C62" s="12"/>
      <c r="F62" s="17"/>
      <c r="I62" s="17"/>
      <c r="J62" s="13"/>
      <c r="K62" s="23"/>
      <c r="L62" s="17"/>
      <c r="M62" s="39"/>
      <c r="N62" s="23"/>
      <c r="O62" s="17"/>
      <c r="P62" s="23"/>
      <c r="Q62" s="23"/>
      <c r="R62" s="17"/>
      <c r="S62" s="29"/>
      <c r="T62" s="34"/>
      <c r="U62" s="17"/>
      <c r="V62" s="23"/>
      <c r="X62" s="17"/>
      <c r="AA62" s="17"/>
      <c r="AD62" s="17"/>
      <c r="AG62" s="17"/>
      <c r="AJ62" s="17"/>
      <c r="AM62" s="17"/>
      <c r="CA62" s="29"/>
      <c r="CB62" s="30"/>
      <c r="CC62" s="30"/>
      <c r="CD62" s="30"/>
      <c r="CE62" s="30"/>
      <c r="CF62" s="30"/>
      <c r="CG62" s="30"/>
      <c r="CH62" s="30"/>
      <c r="CI62" s="30"/>
      <c r="EG62" s="292"/>
      <c r="EH62" s="292"/>
      <c r="EI62" s="292"/>
      <c r="EJ62" s="292"/>
      <c r="EK62" s="292"/>
      <c r="EL62" s="292"/>
      <c r="EM62" s="292"/>
      <c r="EN62" s="292"/>
      <c r="EO62" s="292"/>
      <c r="EP62" s="292"/>
      <c r="EQ62" s="292"/>
      <c r="ER62" s="292"/>
      <c r="ES62" s="292"/>
      <c r="ET62" s="292"/>
      <c r="EU62" s="292"/>
      <c r="EV62" s="292"/>
      <c r="EW62" s="292"/>
      <c r="EX62" s="292"/>
      <c r="FA62" s="292"/>
      <c r="FB62" s="292"/>
      <c r="FC62" s="292"/>
      <c r="FD62" s="292"/>
      <c r="FE62" s="292"/>
      <c r="FF62" s="292"/>
      <c r="FG62" s="292"/>
      <c r="FH62" s="292"/>
      <c r="FI62" s="292"/>
      <c r="FJ62" s="292"/>
      <c r="FK62" s="292"/>
      <c r="FL62" s="292"/>
      <c r="FM62" s="292"/>
      <c r="FN62" s="292"/>
      <c r="FO62" s="292"/>
      <c r="FP62" s="292"/>
      <c r="FQ62" s="292"/>
      <c r="FR62" s="292"/>
      <c r="FS62" s="292"/>
      <c r="FT62" s="292"/>
      <c r="FU62" s="292"/>
      <c r="FV62" s="292"/>
      <c r="FW62" s="292"/>
      <c r="FX62" s="292"/>
      <c r="FY62" s="292"/>
      <c r="FZ62" s="292"/>
      <c r="GA62" s="292"/>
      <c r="GB62" s="292"/>
      <c r="GC62" s="292"/>
      <c r="GD62" s="292"/>
      <c r="GE62" s="292"/>
      <c r="GF62" s="292"/>
      <c r="GG62" s="292"/>
      <c r="GH62" s="292"/>
      <c r="GI62" s="292"/>
      <c r="GJ62" s="292"/>
      <c r="GK62" s="292"/>
      <c r="GL62" s="292"/>
      <c r="GM62" s="292"/>
      <c r="GN62" s="292"/>
      <c r="GO62" s="292"/>
      <c r="GP62" s="292"/>
      <c r="GQ62" s="292"/>
      <c r="GR62" s="292"/>
      <c r="GS62" s="292"/>
      <c r="GT62" s="292"/>
      <c r="GU62" s="292"/>
      <c r="GV62" s="292"/>
      <c r="GW62" s="292"/>
      <c r="GX62" s="292"/>
      <c r="GY62" s="292"/>
      <c r="GZ62" s="292"/>
      <c r="HA62" s="292"/>
      <c r="HB62" s="292"/>
      <c r="HC62" s="292"/>
      <c r="HD62" s="292"/>
      <c r="HE62" s="292"/>
      <c r="HF62" s="292"/>
      <c r="HG62" s="292"/>
      <c r="HH62" s="292"/>
      <c r="HI62" s="292"/>
      <c r="HJ62" s="292"/>
      <c r="HK62" s="292"/>
      <c r="HL62" s="292"/>
      <c r="HM62" s="292"/>
      <c r="HN62" s="292"/>
      <c r="HO62" s="292"/>
      <c r="HP62" s="292"/>
      <c r="HQ62" s="292"/>
      <c r="HR62" s="292"/>
      <c r="HS62" s="292"/>
      <c r="HT62" s="292"/>
      <c r="HU62" s="292"/>
      <c r="HV62" s="292"/>
      <c r="HW62" s="292"/>
      <c r="HX62" s="292"/>
      <c r="HY62" s="292"/>
      <c r="HZ62" s="292"/>
      <c r="IA62" s="292"/>
      <c r="IB62" s="292"/>
      <c r="IC62" s="292"/>
      <c r="ID62" s="292"/>
      <c r="IE62" s="292"/>
      <c r="IF62" s="292"/>
      <c r="IG62" s="292"/>
      <c r="IH62" s="292"/>
      <c r="II62" s="292"/>
      <c r="IJ62" s="292"/>
      <c r="IK62" s="292"/>
      <c r="IL62" s="292"/>
      <c r="IM62" s="292"/>
      <c r="IN62" s="292"/>
      <c r="IO62" s="292"/>
      <c r="IP62" s="292"/>
      <c r="IQ62" s="292"/>
      <c r="IR62" s="292"/>
      <c r="IS62" s="292"/>
      <c r="IT62" s="292"/>
      <c r="IU62" s="292"/>
      <c r="IV62" s="292"/>
      <c r="IW62" s="292"/>
      <c r="IX62" s="292"/>
      <c r="IY62" s="292"/>
      <c r="IZ62" s="292"/>
      <c r="JA62" s="292"/>
      <c r="JB62" s="292"/>
      <c r="JC62" s="292"/>
      <c r="JD62" s="292"/>
      <c r="JE62" s="292"/>
      <c r="JF62" s="292"/>
      <c r="JG62" s="292"/>
      <c r="JH62" s="292"/>
      <c r="JI62" s="292"/>
      <c r="JJ62" s="292"/>
      <c r="JK62" s="292"/>
      <c r="JL62" s="292"/>
      <c r="JM62" s="292"/>
      <c r="JN62" s="292"/>
      <c r="JO62" s="292"/>
      <c r="JP62" s="292"/>
      <c r="JQ62" s="292"/>
      <c r="JR62" s="292"/>
      <c r="JS62" s="292"/>
      <c r="JT62" s="292"/>
      <c r="JU62" s="292"/>
      <c r="JV62" s="292"/>
      <c r="JW62" s="292"/>
      <c r="JX62" s="292"/>
      <c r="JY62" s="292"/>
      <c r="JZ62" s="292"/>
      <c r="KA62" s="292"/>
      <c r="KB62" s="292"/>
      <c r="KC62" s="292"/>
      <c r="KD62" s="292"/>
      <c r="KE62" s="292"/>
      <c r="KF62" s="292"/>
      <c r="KG62" s="292"/>
      <c r="KH62" s="292"/>
      <c r="KI62" s="292"/>
      <c r="KJ62" s="292"/>
      <c r="KK62" s="292"/>
      <c r="KL62" s="292"/>
      <c r="KM62" s="292"/>
      <c r="KN62" s="292"/>
      <c r="KO62" s="292"/>
      <c r="KP62" s="292"/>
      <c r="KQ62" s="292"/>
      <c r="KR62" s="292"/>
      <c r="KS62" s="292"/>
      <c r="KT62" s="292"/>
      <c r="KU62" s="292"/>
      <c r="KV62" s="292"/>
      <c r="KW62" s="292"/>
      <c r="KX62" s="292"/>
      <c r="KY62" s="292"/>
      <c r="KZ62" s="292"/>
      <c r="LA62" s="292"/>
      <c r="LB62" s="292"/>
      <c r="LC62" s="292"/>
      <c r="LD62" s="292"/>
      <c r="LE62" s="292"/>
      <c r="LF62" s="292"/>
      <c r="LG62" s="292"/>
      <c r="LH62" s="292"/>
      <c r="LI62" s="292"/>
      <c r="LJ62" s="292"/>
      <c r="LK62" s="292"/>
      <c r="LL62" s="292"/>
      <c r="LM62" s="292"/>
      <c r="LN62" s="292"/>
      <c r="LO62" s="292"/>
      <c r="LP62" s="292"/>
      <c r="LQ62" s="292"/>
      <c r="LR62" s="292"/>
      <c r="LS62" s="292"/>
      <c r="LT62" s="292"/>
      <c r="LU62" s="292"/>
      <c r="LV62" s="292"/>
      <c r="LW62" s="292"/>
      <c r="LX62" s="292"/>
      <c r="LY62" s="292"/>
      <c r="LZ62" s="292"/>
      <c r="MA62" s="292"/>
      <c r="MB62" s="292"/>
      <c r="MC62" s="292"/>
      <c r="MD62" s="292"/>
      <c r="ME62" s="292"/>
      <c r="MF62" s="292"/>
      <c r="MG62" s="292"/>
      <c r="MH62" s="292"/>
      <c r="MI62" s="292"/>
      <c r="MJ62" s="292"/>
      <c r="MK62" s="292"/>
      <c r="ML62" s="292"/>
      <c r="MM62" s="292"/>
      <c r="MN62" s="292"/>
      <c r="MO62" s="292"/>
      <c r="MP62" s="292"/>
      <c r="MQ62" s="292"/>
      <c r="MR62" s="292"/>
      <c r="MS62" s="292"/>
      <c r="MT62" s="292"/>
      <c r="MU62" s="292"/>
      <c r="MV62" s="292"/>
      <c r="MW62" s="292"/>
      <c r="MX62" s="292"/>
      <c r="MY62" s="292"/>
      <c r="MZ62" s="292"/>
      <c r="NA62" s="292"/>
      <c r="NB62" s="292"/>
      <c r="NC62" s="292"/>
      <c r="ND62" s="292"/>
      <c r="NE62" s="292"/>
      <c r="NF62" s="292"/>
      <c r="NG62" s="292"/>
      <c r="NH62" s="292"/>
      <c r="NI62" s="292"/>
      <c r="NJ62" s="292"/>
      <c r="NK62" s="292"/>
      <c r="NL62" s="292"/>
      <c r="NM62" s="292"/>
      <c r="NN62" s="292"/>
      <c r="NO62" s="292"/>
      <c r="NP62" s="292"/>
      <c r="NQ62" s="292"/>
      <c r="NR62" s="292"/>
      <c r="NS62" s="292"/>
      <c r="NT62" s="292"/>
      <c r="NU62" s="292"/>
      <c r="NV62" s="292"/>
      <c r="NW62" s="292"/>
      <c r="NX62" s="292"/>
      <c r="NY62" s="568"/>
      <c r="NZ62" s="568"/>
      <c r="OA62" s="575"/>
      <c r="OB62" s="575"/>
      <c r="OC62" s="578"/>
      <c r="OD62" s="578"/>
    </row>
    <row r="63" spans="1:396" s="20" customFormat="1" ht="10.5" customHeight="1">
      <c r="A63" s="12"/>
      <c r="B63" s="12"/>
      <c r="C63" s="12"/>
      <c r="J63" s="13"/>
      <c r="K63" s="23"/>
      <c r="L63" s="17"/>
      <c r="M63" s="39"/>
      <c r="N63" s="23"/>
      <c r="P63" s="23"/>
      <c r="Q63" s="23"/>
      <c r="S63" s="23"/>
      <c r="T63" s="34"/>
      <c r="V63" s="23"/>
      <c r="CA63" s="29"/>
      <c r="CB63" s="30"/>
      <c r="CC63" s="30"/>
      <c r="CD63" s="30"/>
      <c r="CE63" s="30"/>
      <c r="CF63" s="32"/>
      <c r="CG63" s="30"/>
      <c r="CH63" s="30"/>
      <c r="CI63" s="30"/>
      <c r="EG63" s="292"/>
      <c r="EH63" s="292"/>
      <c r="EI63" s="292"/>
      <c r="EJ63" s="292"/>
      <c r="EK63" s="292"/>
      <c r="EL63" s="292"/>
      <c r="EM63" s="292"/>
      <c r="EN63" s="292"/>
      <c r="EO63" s="292"/>
      <c r="EP63" s="292"/>
      <c r="EQ63" s="292"/>
      <c r="ER63" s="292"/>
      <c r="ES63" s="292"/>
      <c r="ET63" s="292"/>
      <c r="EU63" s="292"/>
      <c r="EV63" s="292"/>
      <c r="EW63" s="292"/>
      <c r="EX63" s="292"/>
      <c r="FA63" s="292"/>
      <c r="FB63" s="292"/>
      <c r="FC63" s="292"/>
      <c r="FD63" s="292"/>
      <c r="FE63" s="292"/>
      <c r="FF63" s="292"/>
      <c r="FG63" s="292"/>
      <c r="FH63" s="292"/>
      <c r="FI63" s="292"/>
      <c r="FJ63" s="292"/>
      <c r="FK63" s="292"/>
      <c r="FL63" s="292"/>
      <c r="FM63" s="292"/>
      <c r="FN63" s="292"/>
      <c r="FO63" s="292"/>
      <c r="FP63" s="292"/>
      <c r="FQ63" s="292"/>
      <c r="FR63" s="292"/>
      <c r="FS63" s="292"/>
      <c r="FT63" s="292"/>
      <c r="FU63" s="292"/>
      <c r="FV63" s="292"/>
      <c r="FW63" s="292"/>
      <c r="FX63" s="292"/>
      <c r="FY63" s="292"/>
      <c r="FZ63" s="292"/>
      <c r="GA63" s="292"/>
      <c r="GB63" s="292"/>
      <c r="GC63" s="292"/>
      <c r="GD63" s="292"/>
      <c r="GE63" s="292"/>
      <c r="GF63" s="292"/>
      <c r="GG63" s="292"/>
      <c r="GH63" s="292"/>
      <c r="GI63" s="292"/>
      <c r="GJ63" s="292"/>
      <c r="GK63" s="292"/>
      <c r="GL63" s="292"/>
      <c r="GM63" s="292"/>
      <c r="GN63" s="292"/>
      <c r="GO63" s="292"/>
      <c r="GP63" s="292"/>
      <c r="GQ63" s="292"/>
      <c r="GR63" s="292"/>
      <c r="GS63" s="292"/>
      <c r="GT63" s="292"/>
      <c r="GU63" s="292"/>
      <c r="GV63" s="292"/>
      <c r="GW63" s="292"/>
      <c r="GX63" s="292"/>
      <c r="GY63" s="292"/>
      <c r="GZ63" s="292"/>
      <c r="HA63" s="292"/>
      <c r="HB63" s="292"/>
      <c r="HC63" s="292"/>
      <c r="HD63" s="292"/>
      <c r="HE63" s="292"/>
      <c r="HF63" s="292"/>
      <c r="HG63" s="292"/>
      <c r="HH63" s="292"/>
      <c r="HI63" s="292"/>
      <c r="HJ63" s="292"/>
      <c r="HK63" s="292"/>
      <c r="HL63" s="292"/>
      <c r="HM63" s="292"/>
      <c r="HN63" s="292"/>
      <c r="HO63" s="292"/>
      <c r="HP63" s="292"/>
      <c r="HQ63" s="292"/>
      <c r="HR63" s="292"/>
      <c r="HS63" s="292"/>
      <c r="HT63" s="292"/>
      <c r="HU63" s="292"/>
      <c r="HV63" s="292"/>
      <c r="HW63" s="292"/>
      <c r="HX63" s="292"/>
      <c r="HY63" s="292"/>
      <c r="HZ63" s="292"/>
      <c r="IA63" s="292"/>
      <c r="IB63" s="292"/>
      <c r="IC63" s="292"/>
      <c r="ID63" s="292"/>
      <c r="IE63" s="292"/>
      <c r="IF63" s="292"/>
      <c r="IG63" s="292"/>
      <c r="IH63" s="292"/>
      <c r="II63" s="292"/>
      <c r="IJ63" s="292"/>
      <c r="IK63" s="292"/>
      <c r="IL63" s="292"/>
      <c r="IM63" s="292"/>
      <c r="IN63" s="292"/>
      <c r="IO63" s="292"/>
      <c r="IP63" s="292"/>
      <c r="IQ63" s="292"/>
      <c r="IR63" s="292"/>
      <c r="IS63" s="292"/>
      <c r="IT63" s="292"/>
      <c r="IU63" s="292"/>
      <c r="IV63" s="292"/>
      <c r="IW63" s="292"/>
      <c r="IX63" s="292"/>
      <c r="IY63" s="292"/>
      <c r="IZ63" s="292"/>
      <c r="JA63" s="292"/>
      <c r="JB63" s="292"/>
      <c r="JC63" s="292"/>
      <c r="JD63" s="292"/>
      <c r="JE63" s="292"/>
      <c r="JF63" s="292"/>
      <c r="JG63" s="292"/>
      <c r="JH63" s="292"/>
      <c r="JI63" s="292"/>
      <c r="JJ63" s="292"/>
      <c r="JK63" s="292"/>
      <c r="JL63" s="292"/>
      <c r="JM63" s="292"/>
      <c r="JN63" s="292"/>
      <c r="JO63" s="292"/>
      <c r="JP63" s="292"/>
      <c r="JQ63" s="292"/>
      <c r="JR63" s="292"/>
      <c r="JS63" s="292"/>
      <c r="JT63" s="292"/>
      <c r="JU63" s="292"/>
      <c r="JV63" s="292"/>
      <c r="JW63" s="292"/>
      <c r="JX63" s="292"/>
      <c r="JY63" s="292"/>
      <c r="JZ63" s="292"/>
      <c r="KA63" s="292"/>
      <c r="KB63" s="292"/>
      <c r="KC63" s="292"/>
      <c r="KD63" s="292"/>
      <c r="KE63" s="292"/>
      <c r="KF63" s="292"/>
      <c r="KG63" s="292"/>
      <c r="KH63" s="292"/>
      <c r="KI63" s="292"/>
      <c r="KJ63" s="292"/>
      <c r="KK63" s="292"/>
      <c r="KL63" s="292"/>
      <c r="KM63" s="292"/>
      <c r="KN63" s="292"/>
      <c r="KO63" s="292"/>
      <c r="KP63" s="292"/>
      <c r="KQ63" s="292"/>
      <c r="KR63" s="292"/>
      <c r="KS63" s="292"/>
      <c r="KT63" s="292"/>
      <c r="KU63" s="292"/>
      <c r="KV63" s="292"/>
      <c r="KW63" s="292"/>
      <c r="KX63" s="292"/>
      <c r="KY63" s="292"/>
      <c r="KZ63" s="292"/>
      <c r="LA63" s="292"/>
      <c r="LB63" s="292"/>
      <c r="LC63" s="292"/>
      <c r="LD63" s="292"/>
      <c r="LE63" s="292"/>
      <c r="LF63" s="292"/>
      <c r="LG63" s="292"/>
      <c r="LH63" s="292"/>
      <c r="LI63" s="292"/>
      <c r="LJ63" s="292"/>
      <c r="LK63" s="292"/>
      <c r="LL63" s="292"/>
      <c r="LM63" s="292"/>
      <c r="LN63" s="292"/>
      <c r="LO63" s="292"/>
      <c r="LP63" s="292"/>
      <c r="LQ63" s="292"/>
      <c r="LR63" s="292"/>
      <c r="LS63" s="292"/>
      <c r="LT63" s="292"/>
      <c r="LU63" s="292"/>
      <c r="LV63" s="292"/>
      <c r="LW63" s="292"/>
      <c r="LX63" s="292"/>
      <c r="LY63" s="292"/>
      <c r="LZ63" s="292"/>
      <c r="MA63" s="292"/>
      <c r="MB63" s="292"/>
      <c r="MC63" s="292"/>
      <c r="MD63" s="292"/>
      <c r="ME63" s="292"/>
      <c r="MF63" s="292"/>
      <c r="MG63" s="292"/>
      <c r="MH63" s="292"/>
      <c r="MI63" s="292"/>
      <c r="MJ63" s="292"/>
      <c r="MK63" s="292"/>
      <c r="ML63" s="292"/>
      <c r="MM63" s="292"/>
      <c r="MN63" s="292"/>
      <c r="MO63" s="292"/>
      <c r="MP63" s="292"/>
      <c r="MQ63" s="292"/>
      <c r="MR63" s="292"/>
      <c r="MS63" s="292"/>
      <c r="MT63" s="292"/>
      <c r="MU63" s="292"/>
      <c r="MV63" s="292"/>
      <c r="MW63" s="292"/>
      <c r="MX63" s="292"/>
      <c r="MY63" s="292"/>
      <c r="MZ63" s="292"/>
      <c r="NA63" s="292"/>
      <c r="NB63" s="292"/>
      <c r="NC63" s="292"/>
      <c r="ND63" s="292"/>
      <c r="NE63" s="292"/>
      <c r="NF63" s="292"/>
      <c r="NG63" s="292"/>
      <c r="NH63" s="292"/>
      <c r="NI63" s="292"/>
      <c r="NJ63" s="292"/>
      <c r="NK63" s="292"/>
      <c r="NL63" s="292"/>
      <c r="NM63" s="292"/>
      <c r="NN63" s="292"/>
      <c r="NO63" s="292"/>
      <c r="NP63" s="292"/>
      <c r="NQ63" s="292"/>
      <c r="NR63" s="292"/>
      <c r="NS63" s="292"/>
      <c r="NT63" s="292"/>
      <c r="NU63" s="292"/>
      <c r="NV63" s="292"/>
      <c r="NW63" s="292"/>
      <c r="NX63" s="292"/>
      <c r="NY63" s="568"/>
      <c r="NZ63" s="568"/>
      <c r="OA63" s="575"/>
      <c r="OB63" s="575"/>
      <c r="OC63" s="578"/>
      <c r="OD63" s="578"/>
    </row>
    <row r="64" spans="1:396" s="20" customFormat="1" ht="10.5" customHeight="1">
      <c r="A64" s="12"/>
      <c r="B64" s="12"/>
      <c r="C64" s="12"/>
      <c r="F64" s="17"/>
      <c r="I64" s="17"/>
      <c r="J64" s="13"/>
      <c r="K64" s="29"/>
      <c r="L64" s="17"/>
      <c r="M64" s="39"/>
      <c r="N64" s="23"/>
      <c r="O64" s="17"/>
      <c r="P64" s="23"/>
      <c r="Q64" s="23"/>
      <c r="R64" s="17"/>
      <c r="S64" s="23"/>
      <c r="T64" s="34"/>
      <c r="U64" s="17"/>
      <c r="V64" s="23"/>
      <c r="X64" s="17"/>
      <c r="AA64" s="17"/>
      <c r="AD64" s="17"/>
      <c r="AG64" s="17"/>
      <c r="AJ64" s="17"/>
      <c r="AM64" s="17"/>
      <c r="CA64" s="29"/>
      <c r="CB64" s="30"/>
      <c r="CC64" s="30"/>
      <c r="CD64" s="30"/>
      <c r="CE64" s="30"/>
      <c r="CF64" s="30"/>
      <c r="CG64" s="30"/>
      <c r="CH64" s="30"/>
      <c r="CI64" s="30"/>
      <c r="EG64" s="292"/>
      <c r="EH64" s="292"/>
      <c r="EI64" s="292"/>
      <c r="EJ64" s="292"/>
      <c r="EK64" s="292"/>
      <c r="EL64" s="292"/>
      <c r="EM64" s="292"/>
      <c r="EN64" s="292"/>
      <c r="EO64" s="292"/>
      <c r="EP64" s="292"/>
      <c r="EQ64" s="292"/>
      <c r="ER64" s="292"/>
      <c r="ES64" s="292"/>
      <c r="ET64" s="292"/>
      <c r="EU64" s="292"/>
      <c r="EV64" s="292"/>
      <c r="EW64" s="292"/>
      <c r="EX64" s="292"/>
      <c r="FA64" s="292"/>
      <c r="FB64" s="292"/>
      <c r="FC64" s="292"/>
      <c r="FD64" s="292"/>
      <c r="FE64" s="292"/>
      <c r="FF64" s="292"/>
      <c r="FG64" s="292"/>
      <c r="FH64" s="292"/>
      <c r="FI64" s="292"/>
      <c r="FJ64" s="292"/>
      <c r="FK64" s="292"/>
      <c r="FL64" s="292"/>
      <c r="FM64" s="292"/>
      <c r="FN64" s="292"/>
      <c r="FO64" s="292"/>
      <c r="FP64" s="292"/>
      <c r="FQ64" s="292"/>
      <c r="FR64" s="292"/>
      <c r="FS64" s="292"/>
      <c r="FT64" s="292"/>
      <c r="FU64" s="292"/>
      <c r="FV64" s="292"/>
      <c r="FW64" s="292"/>
      <c r="FX64" s="292"/>
      <c r="FY64" s="292"/>
      <c r="FZ64" s="292"/>
      <c r="GA64" s="292"/>
      <c r="GB64" s="292"/>
      <c r="GC64" s="292"/>
      <c r="GD64" s="292"/>
      <c r="GE64" s="292"/>
      <c r="GF64" s="292"/>
      <c r="GG64" s="292"/>
      <c r="GH64" s="292"/>
      <c r="GI64" s="292"/>
      <c r="GJ64" s="292"/>
      <c r="GK64" s="292"/>
      <c r="GL64" s="292"/>
      <c r="GM64" s="292"/>
      <c r="GN64" s="292"/>
      <c r="GO64" s="292"/>
      <c r="GP64" s="292"/>
      <c r="GQ64" s="292"/>
      <c r="GR64" s="292"/>
      <c r="GS64" s="292"/>
      <c r="GT64" s="292"/>
      <c r="GU64" s="292"/>
      <c r="GV64" s="292"/>
      <c r="GW64" s="292"/>
      <c r="GX64" s="292"/>
      <c r="GY64" s="292"/>
      <c r="GZ64" s="292"/>
      <c r="HA64" s="292"/>
      <c r="HB64" s="292"/>
      <c r="HC64" s="292"/>
      <c r="HD64" s="292"/>
      <c r="HE64" s="292"/>
      <c r="HF64" s="292"/>
      <c r="HG64" s="292"/>
      <c r="HH64" s="292"/>
      <c r="HI64" s="292"/>
      <c r="HJ64" s="292"/>
      <c r="HK64" s="292"/>
      <c r="HL64" s="292"/>
      <c r="HM64" s="292"/>
      <c r="HN64" s="292"/>
      <c r="HO64" s="292"/>
      <c r="HP64" s="292"/>
      <c r="HQ64" s="292"/>
      <c r="HR64" s="292"/>
      <c r="HS64" s="292"/>
      <c r="HT64" s="292"/>
      <c r="HU64" s="292"/>
      <c r="HV64" s="292"/>
      <c r="HW64" s="292"/>
      <c r="HX64" s="292"/>
      <c r="HY64" s="292"/>
      <c r="HZ64" s="292"/>
      <c r="IA64" s="292"/>
      <c r="IB64" s="292"/>
      <c r="IC64" s="292"/>
      <c r="ID64" s="292"/>
      <c r="IE64" s="292"/>
      <c r="IF64" s="292"/>
      <c r="IG64" s="292"/>
      <c r="IH64" s="292"/>
      <c r="II64" s="292"/>
      <c r="IJ64" s="292"/>
      <c r="IK64" s="292"/>
      <c r="IL64" s="292"/>
      <c r="IM64" s="292"/>
      <c r="IN64" s="292"/>
      <c r="IO64" s="292"/>
      <c r="IP64" s="292"/>
      <c r="IQ64" s="292"/>
      <c r="IR64" s="292"/>
      <c r="IS64" s="292"/>
      <c r="IT64" s="292"/>
      <c r="IU64" s="292"/>
      <c r="IV64" s="292"/>
      <c r="IW64" s="292"/>
      <c r="IX64" s="292"/>
      <c r="IY64" s="292"/>
      <c r="IZ64" s="292"/>
      <c r="JA64" s="292"/>
      <c r="JB64" s="292"/>
      <c r="JC64" s="292"/>
      <c r="JD64" s="292"/>
      <c r="JE64" s="292"/>
      <c r="JF64" s="292"/>
      <c r="JG64" s="292"/>
      <c r="JH64" s="292"/>
      <c r="JI64" s="292"/>
      <c r="JJ64" s="292"/>
      <c r="JK64" s="292"/>
      <c r="JL64" s="292"/>
      <c r="JM64" s="292"/>
      <c r="JN64" s="292"/>
      <c r="JO64" s="292"/>
      <c r="JP64" s="292"/>
      <c r="JQ64" s="292"/>
      <c r="JR64" s="292"/>
      <c r="JS64" s="292"/>
      <c r="JT64" s="292"/>
      <c r="JU64" s="292"/>
      <c r="JV64" s="292"/>
      <c r="JW64" s="292"/>
      <c r="JX64" s="292"/>
      <c r="JY64" s="292"/>
      <c r="JZ64" s="292"/>
      <c r="KA64" s="292"/>
      <c r="KB64" s="292"/>
      <c r="KC64" s="292"/>
      <c r="KD64" s="292"/>
      <c r="KE64" s="292"/>
      <c r="KF64" s="292"/>
      <c r="KG64" s="292"/>
      <c r="KH64" s="292"/>
      <c r="KI64" s="292"/>
      <c r="KJ64" s="292"/>
      <c r="KK64" s="292"/>
      <c r="KL64" s="292"/>
      <c r="KM64" s="292"/>
      <c r="KN64" s="292"/>
      <c r="KO64" s="292"/>
      <c r="KP64" s="292"/>
      <c r="KQ64" s="292"/>
      <c r="KR64" s="292"/>
      <c r="KS64" s="292"/>
      <c r="KT64" s="292"/>
      <c r="KU64" s="292"/>
      <c r="KV64" s="292"/>
      <c r="KW64" s="292"/>
      <c r="KX64" s="292"/>
      <c r="KY64" s="292"/>
      <c r="KZ64" s="292"/>
      <c r="LA64" s="292"/>
      <c r="LB64" s="292"/>
      <c r="LC64" s="292"/>
      <c r="LD64" s="292"/>
      <c r="LE64" s="292"/>
      <c r="LF64" s="292"/>
      <c r="LG64" s="292"/>
      <c r="LH64" s="292"/>
      <c r="LI64" s="292"/>
      <c r="LJ64" s="292"/>
      <c r="LK64" s="292"/>
      <c r="LL64" s="292"/>
      <c r="LM64" s="292"/>
      <c r="LN64" s="292"/>
      <c r="LO64" s="292"/>
      <c r="LP64" s="292"/>
      <c r="LQ64" s="292"/>
      <c r="LR64" s="292"/>
      <c r="LS64" s="292"/>
      <c r="LT64" s="292"/>
      <c r="LU64" s="292"/>
      <c r="LV64" s="292"/>
      <c r="LW64" s="292"/>
      <c r="LX64" s="292"/>
      <c r="LY64" s="292"/>
      <c r="LZ64" s="292"/>
      <c r="MA64" s="292"/>
      <c r="MB64" s="292"/>
      <c r="MC64" s="292"/>
      <c r="MD64" s="292"/>
      <c r="ME64" s="292"/>
      <c r="MF64" s="292"/>
      <c r="MG64" s="292"/>
      <c r="MH64" s="292"/>
      <c r="MI64" s="292"/>
      <c r="MJ64" s="292"/>
      <c r="MK64" s="292"/>
      <c r="ML64" s="292"/>
      <c r="MM64" s="292"/>
      <c r="MN64" s="292"/>
      <c r="MO64" s="292"/>
      <c r="MP64" s="292"/>
      <c r="MQ64" s="292"/>
      <c r="MR64" s="292"/>
      <c r="MS64" s="292"/>
      <c r="MT64" s="292"/>
      <c r="MU64" s="292"/>
      <c r="MV64" s="292"/>
      <c r="MW64" s="292"/>
      <c r="MX64" s="292"/>
      <c r="MY64" s="292"/>
      <c r="MZ64" s="292"/>
      <c r="NA64" s="292"/>
      <c r="NB64" s="292"/>
      <c r="NC64" s="292"/>
      <c r="ND64" s="292"/>
      <c r="NE64" s="292"/>
      <c r="NF64" s="292"/>
      <c r="NG64" s="292"/>
      <c r="NH64" s="292"/>
      <c r="NI64" s="292"/>
      <c r="NJ64" s="292"/>
      <c r="NK64" s="292"/>
      <c r="NL64" s="292"/>
      <c r="NM64" s="292"/>
      <c r="NN64" s="292"/>
      <c r="NO64" s="292"/>
      <c r="NP64" s="292"/>
      <c r="NQ64" s="292"/>
      <c r="NR64" s="292"/>
      <c r="NS64" s="292"/>
      <c r="NT64" s="292"/>
      <c r="NU64" s="292"/>
      <c r="NV64" s="292"/>
      <c r="NW64" s="292"/>
      <c r="NX64" s="292"/>
      <c r="NY64" s="568"/>
      <c r="NZ64" s="568"/>
      <c r="OA64" s="575"/>
      <c r="OB64" s="575"/>
      <c r="OC64" s="578"/>
      <c r="OD64" s="578"/>
    </row>
    <row r="65" spans="1:394" s="20" customFormat="1" ht="10.5" customHeight="1">
      <c r="A65" s="12"/>
      <c r="B65" s="12"/>
      <c r="C65" s="12"/>
      <c r="F65" s="17"/>
      <c r="I65" s="17"/>
      <c r="J65" s="13"/>
      <c r="K65" s="35"/>
      <c r="L65" s="17"/>
      <c r="M65" s="34"/>
      <c r="N65" s="23"/>
      <c r="O65" s="17"/>
      <c r="P65" s="23"/>
      <c r="Q65" s="23"/>
      <c r="R65" s="17"/>
      <c r="S65" s="23"/>
      <c r="T65" s="23"/>
      <c r="U65" s="17"/>
      <c r="V65" s="23"/>
      <c r="X65" s="17"/>
      <c r="AA65" s="17"/>
      <c r="AD65" s="17"/>
      <c r="AG65" s="17"/>
      <c r="AJ65" s="17"/>
      <c r="AM65" s="17"/>
      <c r="CA65" s="23"/>
      <c r="CB65" s="30"/>
      <c r="CC65" s="30"/>
      <c r="CD65" s="30"/>
      <c r="CE65" s="30"/>
      <c r="CF65" s="30"/>
      <c r="CG65" s="30"/>
      <c r="CH65" s="30"/>
      <c r="CI65" s="30"/>
      <c r="CQ65" s="17"/>
      <c r="CR65" s="17"/>
      <c r="CS65" s="17"/>
      <c r="CT65" s="17"/>
      <c r="CU65" s="17"/>
      <c r="CV65" s="17"/>
      <c r="CW65" s="17"/>
      <c r="EG65" s="292"/>
      <c r="EH65" s="292"/>
      <c r="EI65" s="292"/>
      <c r="EJ65" s="292"/>
      <c r="EK65" s="292"/>
      <c r="EL65" s="292"/>
      <c r="EM65" s="292"/>
      <c r="EN65" s="292"/>
      <c r="EO65" s="292"/>
      <c r="EP65" s="292"/>
      <c r="EQ65" s="292"/>
      <c r="ER65" s="292"/>
      <c r="ES65" s="292"/>
      <c r="ET65" s="292"/>
      <c r="EU65" s="292"/>
      <c r="EV65" s="292"/>
      <c r="EW65" s="292"/>
      <c r="EX65" s="292"/>
      <c r="FA65" s="292"/>
      <c r="FB65" s="292"/>
      <c r="FC65" s="292"/>
      <c r="FD65" s="292"/>
      <c r="FE65" s="292"/>
      <c r="FF65" s="292"/>
      <c r="FG65" s="292"/>
      <c r="FH65" s="292"/>
      <c r="FI65" s="292"/>
      <c r="FJ65" s="292"/>
      <c r="FK65" s="292"/>
      <c r="FL65" s="292"/>
      <c r="FM65" s="292"/>
      <c r="FN65" s="292"/>
      <c r="FO65" s="292"/>
      <c r="FP65" s="292"/>
      <c r="FQ65" s="292"/>
      <c r="FR65" s="292"/>
      <c r="FS65" s="292"/>
      <c r="FT65" s="292"/>
      <c r="FU65" s="292"/>
      <c r="FV65" s="292"/>
      <c r="FW65" s="292"/>
      <c r="FX65" s="292"/>
      <c r="FY65" s="292"/>
      <c r="FZ65" s="292"/>
      <c r="GA65" s="292"/>
      <c r="GB65" s="292"/>
      <c r="GC65" s="292"/>
      <c r="GD65" s="292"/>
      <c r="GE65" s="292"/>
      <c r="GF65" s="292"/>
      <c r="GG65" s="292"/>
      <c r="GH65" s="292"/>
      <c r="GI65" s="292"/>
      <c r="GJ65" s="292"/>
      <c r="GK65" s="292"/>
      <c r="GL65" s="292"/>
      <c r="GM65" s="292"/>
      <c r="GN65" s="292"/>
      <c r="GO65" s="292"/>
      <c r="GP65" s="292"/>
      <c r="GQ65" s="292"/>
      <c r="GR65" s="292"/>
      <c r="GS65" s="292"/>
      <c r="GT65" s="292"/>
      <c r="GU65" s="292"/>
      <c r="GV65" s="292"/>
      <c r="GW65" s="292"/>
      <c r="GX65" s="292"/>
      <c r="GY65" s="292"/>
      <c r="GZ65" s="292"/>
      <c r="HA65" s="292"/>
      <c r="HB65" s="292"/>
      <c r="HC65" s="292"/>
      <c r="HD65" s="292"/>
      <c r="HE65" s="292"/>
      <c r="HF65" s="292"/>
      <c r="HG65" s="292"/>
      <c r="HH65" s="292"/>
      <c r="HI65" s="292"/>
      <c r="HJ65" s="292"/>
      <c r="HK65" s="292"/>
      <c r="HL65" s="292"/>
      <c r="HM65" s="292"/>
      <c r="HN65" s="292"/>
      <c r="HO65" s="292"/>
      <c r="HP65" s="292"/>
      <c r="HQ65" s="292"/>
      <c r="HR65" s="292"/>
      <c r="HS65" s="292"/>
      <c r="HT65" s="292"/>
      <c r="HU65" s="292"/>
      <c r="HV65" s="292"/>
      <c r="HW65" s="292"/>
      <c r="HX65" s="292"/>
      <c r="HY65" s="292"/>
      <c r="HZ65" s="292"/>
      <c r="IA65" s="292"/>
      <c r="IB65" s="292"/>
      <c r="IC65" s="292"/>
      <c r="ID65" s="292"/>
      <c r="IE65" s="292"/>
      <c r="IF65" s="292"/>
      <c r="IG65" s="292"/>
      <c r="IH65" s="292"/>
      <c r="II65" s="292"/>
      <c r="IJ65" s="292"/>
      <c r="IK65" s="292"/>
      <c r="IL65" s="292"/>
      <c r="IM65" s="292"/>
      <c r="IN65" s="292"/>
      <c r="IO65" s="292"/>
      <c r="IP65" s="292"/>
      <c r="IQ65" s="292"/>
      <c r="IR65" s="292"/>
      <c r="IS65" s="292"/>
      <c r="IT65" s="292"/>
      <c r="IU65" s="292"/>
      <c r="IV65" s="292"/>
      <c r="IW65" s="292"/>
      <c r="IX65" s="292"/>
      <c r="IY65" s="292"/>
      <c r="IZ65" s="292"/>
      <c r="JA65" s="292"/>
      <c r="JB65" s="292"/>
      <c r="JC65" s="292"/>
      <c r="JD65" s="292"/>
      <c r="JE65" s="292"/>
      <c r="JF65" s="292"/>
      <c r="JG65" s="292"/>
      <c r="JH65" s="292"/>
      <c r="JI65" s="292"/>
      <c r="JJ65" s="292"/>
      <c r="JK65" s="292"/>
      <c r="JL65" s="292"/>
      <c r="JM65" s="292"/>
      <c r="JN65" s="292"/>
      <c r="JO65" s="292"/>
      <c r="JP65" s="292"/>
      <c r="JQ65" s="292"/>
      <c r="JR65" s="292"/>
      <c r="JS65" s="292"/>
      <c r="JT65" s="292"/>
      <c r="JU65" s="292"/>
      <c r="JV65" s="292"/>
      <c r="JW65" s="292"/>
      <c r="JX65" s="292"/>
      <c r="JY65" s="292"/>
      <c r="JZ65" s="292"/>
      <c r="KA65" s="292"/>
      <c r="KB65" s="292"/>
      <c r="KC65" s="292"/>
      <c r="KD65" s="292"/>
      <c r="KE65" s="292"/>
      <c r="KF65" s="292"/>
      <c r="KG65" s="292"/>
      <c r="KH65" s="292"/>
      <c r="KI65" s="292"/>
      <c r="KJ65" s="292"/>
      <c r="KK65" s="292"/>
      <c r="KL65" s="292"/>
      <c r="KM65" s="292"/>
      <c r="KN65" s="292"/>
      <c r="KO65" s="292"/>
      <c r="KP65" s="292"/>
      <c r="KQ65" s="292"/>
      <c r="KR65" s="292"/>
      <c r="KS65" s="292"/>
      <c r="KT65" s="292"/>
      <c r="KU65" s="292"/>
      <c r="KV65" s="292"/>
      <c r="KW65" s="292"/>
      <c r="KX65" s="292"/>
      <c r="KY65" s="292"/>
      <c r="KZ65" s="292"/>
      <c r="LA65" s="292"/>
      <c r="LB65" s="292"/>
      <c r="LC65" s="292"/>
      <c r="LD65" s="292"/>
      <c r="LE65" s="292"/>
      <c r="LF65" s="292"/>
      <c r="LG65" s="292"/>
      <c r="LH65" s="292"/>
      <c r="LI65" s="292"/>
      <c r="LJ65" s="292"/>
      <c r="LK65" s="292"/>
      <c r="LL65" s="292"/>
      <c r="LM65" s="292"/>
      <c r="LN65" s="292"/>
      <c r="LO65" s="292"/>
      <c r="LP65" s="292"/>
      <c r="LQ65" s="292"/>
      <c r="LR65" s="292"/>
      <c r="LS65" s="292"/>
      <c r="LT65" s="292"/>
      <c r="LU65" s="292"/>
      <c r="LV65" s="292"/>
      <c r="LW65" s="292"/>
      <c r="LX65" s="292"/>
      <c r="LY65" s="292"/>
      <c r="LZ65" s="292"/>
      <c r="MA65" s="292"/>
      <c r="MB65" s="292"/>
      <c r="MC65" s="292"/>
      <c r="MD65" s="292"/>
      <c r="ME65" s="292"/>
      <c r="MF65" s="292"/>
      <c r="MG65" s="292"/>
      <c r="MH65" s="292"/>
      <c r="MI65" s="292"/>
      <c r="MJ65" s="292"/>
      <c r="MK65" s="292"/>
      <c r="ML65" s="292"/>
      <c r="MM65" s="292"/>
      <c r="MN65" s="292"/>
      <c r="MO65" s="292"/>
      <c r="MP65" s="292"/>
      <c r="MQ65" s="292"/>
      <c r="MR65" s="292"/>
      <c r="MS65" s="292"/>
      <c r="MT65" s="292"/>
      <c r="MU65" s="292"/>
      <c r="MV65" s="292"/>
      <c r="MW65" s="292"/>
      <c r="MX65" s="292"/>
      <c r="MY65" s="292"/>
      <c r="MZ65" s="292"/>
      <c r="NA65" s="292"/>
      <c r="NB65" s="292"/>
      <c r="NC65" s="292"/>
      <c r="ND65" s="292"/>
      <c r="NE65" s="292"/>
      <c r="NF65" s="292"/>
      <c r="NG65" s="292"/>
      <c r="NH65" s="292"/>
      <c r="NI65" s="292"/>
      <c r="NJ65" s="292"/>
      <c r="NK65" s="292"/>
      <c r="NL65" s="292"/>
      <c r="NM65" s="292"/>
      <c r="NN65" s="292"/>
      <c r="NO65" s="292"/>
      <c r="NP65" s="292"/>
      <c r="NQ65" s="292"/>
      <c r="NR65" s="292"/>
      <c r="NS65" s="292"/>
      <c r="NT65" s="292"/>
      <c r="NU65" s="292"/>
      <c r="NV65" s="292"/>
      <c r="NW65" s="292"/>
      <c r="NX65" s="292"/>
      <c r="NY65" s="568"/>
      <c r="NZ65" s="568"/>
      <c r="OA65" s="575"/>
      <c r="OB65" s="575"/>
      <c r="OC65" s="578"/>
      <c r="OD65" s="578"/>
    </row>
    <row r="66" spans="1:394" s="20" customFormat="1" ht="10.5" customHeight="1">
      <c r="A66" s="12"/>
      <c r="B66" s="12"/>
      <c r="C66" s="12"/>
      <c r="J66" s="13"/>
      <c r="K66" s="29"/>
      <c r="L66" s="17"/>
      <c r="M66" s="34"/>
      <c r="N66" s="34"/>
      <c r="P66" s="34"/>
      <c r="Q66" s="98"/>
      <c r="S66" s="23"/>
      <c r="T66" s="23"/>
      <c r="CA66" s="23"/>
      <c r="CB66" s="30"/>
      <c r="CC66" s="30"/>
      <c r="CD66" s="30"/>
      <c r="CE66" s="30"/>
      <c r="CF66" s="30"/>
      <c r="CG66" s="30"/>
      <c r="CH66" s="629" t="s">
        <v>13</v>
      </c>
      <c r="CI66" s="630"/>
      <c r="CJ66" s="630"/>
      <c r="CK66" s="630"/>
      <c r="CL66" s="630"/>
      <c r="CM66" s="630"/>
      <c r="CN66" s="630"/>
      <c r="CO66" s="630"/>
      <c r="CP66" s="631"/>
      <c r="CQ66" s="176"/>
      <c r="CR66" s="176"/>
      <c r="CS66" s="176"/>
      <c r="CT66" s="176"/>
      <c r="CU66" s="176"/>
      <c r="CV66" s="176"/>
      <c r="CW66" s="17"/>
      <c r="EG66" s="292"/>
      <c r="EH66" s="292"/>
      <c r="EI66" s="292"/>
      <c r="EJ66" s="292"/>
      <c r="EK66" s="292"/>
      <c r="EL66" s="292"/>
      <c r="EM66" s="292"/>
      <c r="EN66" s="292"/>
      <c r="EO66" s="292"/>
      <c r="EP66" s="292"/>
      <c r="EQ66" s="292"/>
      <c r="ER66" s="292"/>
      <c r="ES66" s="292"/>
      <c r="ET66" s="292"/>
      <c r="EU66" s="292"/>
      <c r="EV66" s="292"/>
      <c r="EW66" s="292"/>
      <c r="EX66" s="292"/>
      <c r="FA66" s="292"/>
      <c r="FB66" s="292"/>
      <c r="FC66" s="292"/>
      <c r="FD66" s="292"/>
      <c r="FE66" s="292"/>
      <c r="FF66" s="292"/>
      <c r="FG66" s="292"/>
      <c r="FH66" s="292"/>
      <c r="FI66" s="292"/>
      <c r="FJ66" s="292"/>
      <c r="FK66" s="292"/>
      <c r="FL66" s="292"/>
      <c r="FM66" s="292"/>
      <c r="FN66" s="292"/>
      <c r="FO66" s="292"/>
      <c r="FP66" s="292"/>
      <c r="FQ66" s="292"/>
      <c r="FR66" s="292"/>
      <c r="FS66" s="292"/>
      <c r="FT66" s="292"/>
      <c r="FU66" s="292"/>
      <c r="FV66" s="292"/>
      <c r="FW66" s="292"/>
      <c r="FX66" s="292"/>
      <c r="FY66" s="292"/>
      <c r="FZ66" s="292"/>
      <c r="GA66" s="292"/>
      <c r="GB66" s="292"/>
      <c r="GC66" s="292"/>
      <c r="GD66" s="292"/>
      <c r="GE66" s="292"/>
      <c r="GF66" s="292"/>
      <c r="GG66" s="292"/>
      <c r="GH66" s="292"/>
      <c r="GI66" s="292"/>
      <c r="GJ66" s="292"/>
      <c r="GK66" s="292"/>
      <c r="GL66" s="292"/>
      <c r="GM66" s="292"/>
      <c r="GN66" s="292"/>
      <c r="GO66" s="292"/>
      <c r="GP66" s="292"/>
      <c r="GQ66" s="292"/>
      <c r="GR66" s="292"/>
      <c r="GS66" s="292"/>
      <c r="GT66" s="292"/>
      <c r="GU66" s="292"/>
      <c r="GV66" s="292"/>
      <c r="GW66" s="292"/>
      <c r="GX66" s="292"/>
      <c r="GY66" s="292"/>
      <c r="GZ66" s="292"/>
      <c r="HA66" s="292"/>
      <c r="HB66" s="292"/>
      <c r="HC66" s="292"/>
      <c r="HD66" s="292"/>
      <c r="HE66" s="292"/>
      <c r="HF66" s="292"/>
      <c r="HG66" s="292"/>
      <c r="HH66" s="292"/>
      <c r="HI66" s="292"/>
      <c r="HJ66" s="292"/>
      <c r="HK66" s="292"/>
      <c r="HL66" s="292"/>
      <c r="HM66" s="292"/>
      <c r="HN66" s="292"/>
      <c r="HO66" s="292"/>
      <c r="HP66" s="292"/>
      <c r="HQ66" s="292"/>
      <c r="HR66" s="292"/>
      <c r="HS66" s="292"/>
      <c r="HT66" s="292"/>
      <c r="HU66" s="292"/>
      <c r="HV66" s="292"/>
      <c r="HW66" s="292"/>
      <c r="HX66" s="292"/>
      <c r="HY66" s="292"/>
      <c r="HZ66" s="292"/>
      <c r="IA66" s="292"/>
      <c r="IB66" s="292"/>
      <c r="IC66" s="292"/>
      <c r="ID66" s="292"/>
      <c r="IE66" s="292"/>
      <c r="IF66" s="292"/>
      <c r="IG66" s="292"/>
      <c r="IH66" s="292"/>
      <c r="II66" s="292"/>
      <c r="IJ66" s="292"/>
      <c r="IK66" s="292"/>
      <c r="IL66" s="292"/>
      <c r="IM66" s="292"/>
      <c r="IN66" s="292"/>
      <c r="IO66" s="292"/>
      <c r="IP66" s="292"/>
      <c r="IQ66" s="292"/>
      <c r="IR66" s="292"/>
      <c r="IS66" s="292"/>
      <c r="IT66" s="292"/>
      <c r="IU66" s="292"/>
      <c r="IV66" s="292"/>
      <c r="IW66" s="292"/>
      <c r="IX66" s="292"/>
      <c r="IY66" s="292"/>
      <c r="IZ66" s="292"/>
      <c r="JA66" s="292"/>
      <c r="JB66" s="292"/>
      <c r="JC66" s="292"/>
      <c r="JD66" s="292"/>
      <c r="JE66" s="292"/>
      <c r="JF66" s="292"/>
      <c r="JG66" s="292"/>
      <c r="JH66" s="292"/>
      <c r="JI66" s="292"/>
      <c r="JJ66" s="292"/>
      <c r="JK66" s="292"/>
      <c r="JL66" s="292"/>
      <c r="JM66" s="292"/>
      <c r="JN66" s="292"/>
      <c r="JO66" s="292"/>
      <c r="JP66" s="292"/>
      <c r="JQ66" s="292"/>
      <c r="JR66" s="292"/>
      <c r="JS66" s="292"/>
      <c r="JT66" s="292"/>
      <c r="JU66" s="292"/>
      <c r="JV66" s="292"/>
      <c r="JW66" s="292"/>
      <c r="JX66" s="292"/>
      <c r="JY66" s="292"/>
      <c r="JZ66" s="292"/>
      <c r="KA66" s="292"/>
      <c r="KB66" s="292"/>
      <c r="KC66" s="292"/>
      <c r="KD66" s="292"/>
      <c r="KE66" s="292"/>
      <c r="KF66" s="292"/>
      <c r="KG66" s="292"/>
      <c r="KH66" s="292"/>
      <c r="KI66" s="292"/>
      <c r="KJ66" s="292"/>
      <c r="KK66" s="292"/>
      <c r="KL66" s="292"/>
      <c r="KM66" s="292"/>
      <c r="KN66" s="292"/>
      <c r="KO66" s="292"/>
      <c r="KP66" s="292"/>
      <c r="KQ66" s="292"/>
      <c r="KR66" s="292"/>
      <c r="KS66" s="292"/>
      <c r="KT66" s="292"/>
      <c r="KU66" s="292"/>
      <c r="KV66" s="292"/>
      <c r="KW66" s="292"/>
      <c r="KX66" s="292"/>
      <c r="KY66" s="292"/>
      <c r="KZ66" s="292"/>
      <c r="LA66" s="292"/>
      <c r="LB66" s="292"/>
      <c r="LC66" s="292"/>
      <c r="LD66" s="292"/>
      <c r="LE66" s="292"/>
      <c r="LF66" s="292"/>
      <c r="LG66" s="292"/>
      <c r="LH66" s="292"/>
      <c r="LI66" s="292"/>
      <c r="LJ66" s="292"/>
      <c r="LK66" s="292"/>
      <c r="LL66" s="292"/>
      <c r="LM66" s="292"/>
      <c r="LN66" s="292"/>
      <c r="LO66" s="292"/>
      <c r="LP66" s="292"/>
      <c r="LQ66" s="292"/>
      <c r="LR66" s="292"/>
      <c r="LS66" s="292"/>
      <c r="LT66" s="292"/>
      <c r="LU66" s="292"/>
      <c r="LV66" s="292"/>
      <c r="LW66" s="292"/>
      <c r="LX66" s="292"/>
      <c r="LY66" s="292"/>
      <c r="LZ66" s="292"/>
      <c r="MA66" s="292"/>
      <c r="MB66" s="292"/>
      <c r="MC66" s="292"/>
      <c r="MD66" s="292"/>
      <c r="ME66" s="292"/>
      <c r="MF66" s="292"/>
      <c r="MG66" s="292"/>
      <c r="MH66" s="292"/>
      <c r="MI66" s="292"/>
      <c r="MJ66" s="292"/>
      <c r="MK66" s="292"/>
      <c r="ML66" s="292"/>
      <c r="MM66" s="292"/>
      <c r="MN66" s="292"/>
      <c r="MO66" s="292"/>
      <c r="MP66" s="292"/>
      <c r="MQ66" s="292"/>
      <c r="MR66" s="292"/>
      <c r="MS66" s="292"/>
      <c r="MT66" s="292"/>
      <c r="MU66" s="292"/>
      <c r="MV66" s="292"/>
      <c r="MW66" s="292"/>
      <c r="MX66" s="292"/>
      <c r="MY66" s="292"/>
      <c r="MZ66" s="292"/>
      <c r="NA66" s="292"/>
      <c r="NB66" s="292"/>
      <c r="NC66" s="292"/>
      <c r="ND66" s="292"/>
      <c r="NE66" s="292"/>
      <c r="NF66" s="292"/>
      <c r="NG66" s="292"/>
      <c r="NH66" s="292"/>
      <c r="NI66" s="292"/>
      <c r="NJ66" s="292"/>
      <c r="NK66" s="292"/>
      <c r="NL66" s="292"/>
      <c r="NM66" s="292"/>
      <c r="NN66" s="292"/>
      <c r="NO66" s="292"/>
      <c r="NP66" s="292"/>
      <c r="NQ66" s="292"/>
      <c r="NR66" s="292"/>
      <c r="NS66" s="292"/>
      <c r="NT66" s="292"/>
      <c r="NU66" s="292"/>
      <c r="NV66" s="292"/>
      <c r="NW66" s="292"/>
      <c r="NX66" s="292"/>
      <c r="NY66" s="568"/>
      <c r="NZ66" s="568"/>
      <c r="OA66" s="575"/>
      <c r="OB66" s="575"/>
      <c r="OC66" s="578"/>
      <c r="OD66" s="578"/>
    </row>
    <row r="67" spans="1:394" s="20" customFormat="1" ht="10.5" customHeight="1">
      <c r="A67" s="12"/>
      <c r="B67" s="12"/>
      <c r="C67" s="12"/>
      <c r="L67" s="17"/>
      <c r="S67" s="14"/>
      <c r="CA67" s="75"/>
      <c r="CB67" s="30"/>
      <c r="CC67" s="76"/>
      <c r="CD67" s="30"/>
      <c r="CE67" s="30"/>
      <c r="CF67" s="30"/>
      <c r="CG67" s="30"/>
      <c r="CH67" s="177"/>
      <c r="CI67" s="17"/>
      <c r="CJ67" s="17"/>
      <c r="CK67" s="17"/>
      <c r="CL67" s="17"/>
      <c r="CM67" s="17"/>
      <c r="CN67" s="17"/>
      <c r="CO67" s="17"/>
      <c r="CP67" s="178"/>
      <c r="CQ67" s="17"/>
      <c r="CR67" s="17"/>
      <c r="CS67" s="17"/>
      <c r="CT67" s="17"/>
      <c r="CU67" s="17"/>
      <c r="CV67" s="160"/>
      <c r="CW67" s="17"/>
      <c r="EG67" s="292"/>
      <c r="EH67" s="292"/>
      <c r="EI67" s="292"/>
      <c r="EJ67" s="292"/>
      <c r="EK67" s="292"/>
      <c r="EL67" s="292"/>
      <c r="EM67" s="292"/>
      <c r="EN67" s="292"/>
      <c r="EO67" s="292"/>
      <c r="EP67" s="292"/>
      <c r="EQ67" s="292"/>
      <c r="ER67" s="292"/>
      <c r="ES67" s="292"/>
      <c r="ET67" s="292"/>
      <c r="EU67" s="292"/>
      <c r="EV67" s="292"/>
      <c r="EW67" s="292"/>
      <c r="EX67" s="292"/>
      <c r="FA67" s="292"/>
      <c r="FB67" s="292"/>
      <c r="FC67" s="292"/>
      <c r="FD67" s="292"/>
      <c r="FE67" s="292"/>
      <c r="FF67" s="292"/>
      <c r="FG67" s="292"/>
      <c r="FH67" s="292"/>
      <c r="FI67" s="292"/>
      <c r="FJ67" s="292"/>
      <c r="FK67" s="292"/>
      <c r="FL67" s="292"/>
      <c r="FM67" s="292"/>
      <c r="FN67" s="292"/>
      <c r="FO67" s="292"/>
      <c r="FP67" s="292"/>
      <c r="FQ67" s="292"/>
      <c r="FR67" s="292"/>
      <c r="FS67" s="292"/>
      <c r="FT67" s="292"/>
      <c r="FU67" s="292"/>
      <c r="FV67" s="292"/>
      <c r="FW67" s="292"/>
      <c r="FX67" s="292"/>
      <c r="FY67" s="292"/>
      <c r="FZ67" s="292"/>
      <c r="GA67" s="292"/>
      <c r="GB67" s="292"/>
      <c r="GC67" s="292"/>
      <c r="GD67" s="292"/>
      <c r="GE67" s="292"/>
      <c r="GF67" s="292"/>
      <c r="GG67" s="292"/>
      <c r="GH67" s="292"/>
      <c r="GI67" s="292"/>
      <c r="GJ67" s="292"/>
      <c r="GK67" s="292"/>
      <c r="GL67" s="292"/>
      <c r="GM67" s="292"/>
      <c r="GN67" s="292"/>
      <c r="GO67" s="292"/>
      <c r="GP67" s="292"/>
      <c r="GQ67" s="292"/>
      <c r="GR67" s="292"/>
      <c r="GS67" s="292"/>
      <c r="GT67" s="292"/>
      <c r="GU67" s="292"/>
      <c r="GV67" s="292"/>
      <c r="GW67" s="292"/>
      <c r="GX67" s="292"/>
      <c r="GY67" s="292"/>
      <c r="GZ67" s="292"/>
      <c r="HA67" s="292"/>
      <c r="HB67" s="292"/>
      <c r="HC67" s="292"/>
      <c r="HD67" s="292"/>
      <c r="HE67" s="292"/>
      <c r="HF67" s="292"/>
      <c r="HG67" s="292"/>
      <c r="HH67" s="292"/>
      <c r="HI67" s="292"/>
      <c r="HJ67" s="292"/>
      <c r="HK67" s="292"/>
      <c r="HL67" s="292"/>
      <c r="HM67" s="292"/>
      <c r="HN67" s="292"/>
      <c r="HO67" s="292"/>
      <c r="HP67" s="292"/>
      <c r="HQ67" s="292"/>
      <c r="HR67" s="292"/>
      <c r="HS67" s="292"/>
      <c r="HT67" s="292"/>
      <c r="HU67" s="292"/>
      <c r="HV67" s="292"/>
      <c r="HW67" s="292"/>
      <c r="HX67" s="292"/>
      <c r="HY67" s="292"/>
      <c r="HZ67" s="292"/>
      <c r="IA67" s="292"/>
      <c r="IB67" s="292"/>
      <c r="IC67" s="292"/>
      <c r="ID67" s="292"/>
      <c r="IE67" s="292"/>
      <c r="IF67" s="292"/>
      <c r="IG67" s="292"/>
      <c r="IH67" s="292"/>
      <c r="II67" s="292"/>
      <c r="IJ67" s="292"/>
      <c r="IK67" s="292"/>
      <c r="IL67" s="292"/>
      <c r="IM67" s="292"/>
      <c r="IN67" s="292"/>
      <c r="IO67" s="292"/>
      <c r="IP67" s="292"/>
      <c r="IQ67" s="292"/>
      <c r="IR67" s="292"/>
      <c r="IS67" s="292"/>
      <c r="IT67" s="292"/>
      <c r="IU67" s="292"/>
      <c r="IV67" s="292"/>
      <c r="IW67" s="292"/>
      <c r="IX67" s="292"/>
      <c r="IY67" s="292"/>
      <c r="IZ67" s="292"/>
      <c r="JA67" s="292"/>
      <c r="JB67" s="292"/>
      <c r="JC67" s="292"/>
      <c r="JD67" s="292"/>
      <c r="JE67" s="292"/>
      <c r="JF67" s="292"/>
      <c r="JG67" s="292"/>
      <c r="JH67" s="292"/>
      <c r="JI67" s="292"/>
      <c r="JJ67" s="292"/>
      <c r="JK67" s="292"/>
      <c r="JL67" s="292"/>
      <c r="JM67" s="292"/>
      <c r="JN67" s="292"/>
      <c r="JO67" s="292"/>
      <c r="JP67" s="292"/>
      <c r="JQ67" s="292"/>
      <c r="JR67" s="292"/>
      <c r="JS67" s="292"/>
      <c r="JT67" s="292"/>
      <c r="JU67" s="292"/>
      <c r="JV67" s="292"/>
      <c r="JW67" s="292"/>
      <c r="JX67" s="292"/>
      <c r="JY67" s="292"/>
      <c r="JZ67" s="292"/>
      <c r="KA67" s="292"/>
      <c r="KB67" s="292"/>
      <c r="KC67" s="292"/>
      <c r="KD67" s="292"/>
      <c r="KE67" s="292"/>
      <c r="KF67" s="292"/>
      <c r="KG67" s="292"/>
      <c r="KH67" s="292"/>
      <c r="KI67" s="292"/>
      <c r="KJ67" s="292"/>
      <c r="KK67" s="292"/>
      <c r="KL67" s="292"/>
      <c r="KM67" s="292"/>
      <c r="KN67" s="292"/>
      <c r="KO67" s="292"/>
      <c r="KP67" s="292"/>
      <c r="KQ67" s="292"/>
      <c r="KR67" s="292"/>
      <c r="KS67" s="292"/>
      <c r="KT67" s="292"/>
      <c r="KU67" s="292"/>
      <c r="KV67" s="292"/>
      <c r="KW67" s="292"/>
      <c r="KX67" s="292"/>
      <c r="KY67" s="292"/>
      <c r="KZ67" s="292"/>
      <c r="LA67" s="292"/>
      <c r="LB67" s="292"/>
      <c r="LC67" s="292"/>
      <c r="LD67" s="292"/>
      <c r="LE67" s="292"/>
      <c r="LF67" s="292"/>
      <c r="LG67" s="292"/>
      <c r="LH67" s="292"/>
      <c r="LI67" s="292"/>
      <c r="LJ67" s="292"/>
      <c r="LK67" s="292"/>
      <c r="LL67" s="292"/>
      <c r="LM67" s="292"/>
      <c r="LN67" s="292"/>
      <c r="LO67" s="292"/>
      <c r="LP67" s="292"/>
      <c r="LQ67" s="292"/>
      <c r="LR67" s="292"/>
      <c r="LS67" s="292"/>
      <c r="LT67" s="292"/>
      <c r="LU67" s="292"/>
      <c r="LV67" s="292"/>
      <c r="LW67" s="292"/>
      <c r="LX67" s="292"/>
      <c r="LY67" s="292"/>
      <c r="LZ67" s="292"/>
      <c r="MA67" s="292"/>
      <c r="MB67" s="292"/>
      <c r="MC67" s="292"/>
      <c r="MD67" s="292"/>
      <c r="ME67" s="292"/>
      <c r="MF67" s="292"/>
      <c r="MG67" s="292"/>
      <c r="MH67" s="292"/>
      <c r="MI67" s="292"/>
      <c r="MJ67" s="292"/>
      <c r="MK67" s="292"/>
      <c r="ML67" s="292"/>
      <c r="MM67" s="292"/>
      <c r="MN67" s="292"/>
      <c r="MO67" s="292"/>
      <c r="MP67" s="292"/>
      <c r="MQ67" s="292"/>
      <c r="MR67" s="292"/>
      <c r="MS67" s="292"/>
      <c r="MT67" s="292"/>
      <c r="MU67" s="292"/>
      <c r="MV67" s="292"/>
      <c r="MW67" s="292"/>
      <c r="MX67" s="292"/>
      <c r="MY67" s="292"/>
      <c r="MZ67" s="292"/>
      <c r="NA67" s="292"/>
      <c r="NB67" s="292"/>
      <c r="NC67" s="292"/>
      <c r="ND67" s="292"/>
      <c r="NE67" s="292"/>
      <c r="NF67" s="292"/>
      <c r="NG67" s="292"/>
      <c r="NH67" s="292"/>
      <c r="NI67" s="292"/>
      <c r="NJ67" s="292"/>
      <c r="NK67" s="292"/>
      <c r="NL67" s="292"/>
      <c r="NM67" s="292"/>
      <c r="NN67" s="292"/>
      <c r="NO67" s="292"/>
      <c r="NP67" s="292"/>
      <c r="NQ67" s="292"/>
      <c r="NR67" s="292"/>
      <c r="NS67" s="292"/>
      <c r="NT67" s="292"/>
      <c r="NU67" s="292"/>
      <c r="NV67" s="292"/>
      <c r="NW67" s="292"/>
      <c r="NX67" s="292"/>
      <c r="NY67" s="568"/>
      <c r="NZ67" s="568"/>
      <c r="OA67" s="575"/>
      <c r="OB67" s="575"/>
      <c r="OC67" s="578"/>
      <c r="OD67" s="578"/>
    </row>
    <row r="68" spans="1:394" s="20" customFormat="1" ht="10.5" customHeight="1" thickBot="1">
      <c r="L68" s="17"/>
      <c r="CA68" s="75"/>
      <c r="CB68" s="30"/>
      <c r="CC68" s="30"/>
      <c r="CD68" s="30"/>
      <c r="CE68" s="30"/>
      <c r="CF68" s="76"/>
      <c r="CG68" s="30"/>
      <c r="CH68" s="179"/>
      <c r="CI68" s="174"/>
      <c r="CJ68" s="162" t="s">
        <v>14</v>
      </c>
      <c r="CK68" s="162"/>
      <c r="CL68" s="180"/>
      <c r="CM68" s="181"/>
      <c r="CN68" s="182" t="s">
        <v>19</v>
      </c>
      <c r="CO68" s="162"/>
      <c r="CP68" s="178"/>
      <c r="CQ68" s="17"/>
      <c r="CR68" s="17"/>
      <c r="CS68" s="162"/>
      <c r="CT68" s="162"/>
      <c r="CU68" s="22"/>
      <c r="CV68" s="160"/>
      <c r="CW68" s="17"/>
      <c r="EG68" s="292"/>
      <c r="EH68" s="292"/>
      <c r="EI68" s="292"/>
      <c r="EJ68" s="292"/>
      <c r="EK68" s="292"/>
      <c r="EL68" s="292"/>
      <c r="EM68" s="292"/>
      <c r="EN68" s="292"/>
      <c r="EO68" s="292"/>
      <c r="EP68" s="292"/>
      <c r="EQ68" s="292"/>
      <c r="ER68" s="292"/>
      <c r="ES68" s="292"/>
      <c r="ET68" s="292"/>
      <c r="EU68" s="292"/>
      <c r="EV68" s="292"/>
      <c r="EW68" s="292"/>
      <c r="EX68" s="292"/>
      <c r="FA68" s="292"/>
      <c r="FB68" s="292"/>
      <c r="FC68" s="292"/>
      <c r="FD68" s="292"/>
      <c r="FE68" s="292"/>
      <c r="FF68" s="292"/>
      <c r="FG68" s="292"/>
      <c r="FH68" s="292"/>
      <c r="FI68" s="292"/>
      <c r="FJ68" s="292"/>
      <c r="FK68" s="292"/>
      <c r="FL68" s="292"/>
      <c r="FM68" s="292"/>
      <c r="FN68" s="292"/>
      <c r="FO68" s="292"/>
      <c r="FP68" s="292"/>
      <c r="FQ68" s="292"/>
      <c r="FR68" s="292"/>
      <c r="FS68" s="292"/>
      <c r="FT68" s="292"/>
      <c r="FU68" s="292"/>
      <c r="FV68" s="292"/>
      <c r="FW68" s="292"/>
      <c r="FX68" s="292"/>
      <c r="FY68" s="292"/>
      <c r="FZ68" s="292"/>
      <c r="GA68" s="292"/>
      <c r="GB68" s="292"/>
      <c r="GC68" s="292"/>
      <c r="GD68" s="292"/>
      <c r="GE68" s="292"/>
      <c r="GF68" s="292"/>
      <c r="GG68" s="292"/>
      <c r="GH68" s="292"/>
      <c r="GI68" s="292"/>
      <c r="GJ68" s="292"/>
      <c r="GK68" s="292"/>
      <c r="GL68" s="292"/>
      <c r="GM68" s="292"/>
      <c r="GN68" s="292"/>
      <c r="GO68" s="292"/>
      <c r="GP68" s="292"/>
      <c r="GQ68" s="292"/>
      <c r="GR68" s="292"/>
      <c r="GS68" s="292"/>
      <c r="GT68" s="292"/>
      <c r="GU68" s="292"/>
      <c r="GV68" s="292"/>
      <c r="GW68" s="292"/>
      <c r="GX68" s="292"/>
      <c r="GY68" s="292"/>
      <c r="GZ68" s="292"/>
      <c r="HA68" s="292"/>
      <c r="HB68" s="292"/>
      <c r="HC68" s="292"/>
      <c r="HD68" s="292"/>
      <c r="HE68" s="292"/>
      <c r="HF68" s="292"/>
      <c r="HG68" s="292"/>
      <c r="HH68" s="292"/>
      <c r="HI68" s="292"/>
      <c r="HJ68" s="292"/>
      <c r="HK68" s="292"/>
      <c r="HL68" s="292"/>
      <c r="HM68" s="292"/>
      <c r="HN68" s="292"/>
      <c r="HO68" s="292"/>
      <c r="HP68" s="292"/>
      <c r="HQ68" s="292"/>
      <c r="HR68" s="292"/>
      <c r="HS68" s="292"/>
      <c r="HT68" s="292"/>
      <c r="HU68" s="292"/>
      <c r="HV68" s="292"/>
      <c r="HW68" s="292"/>
      <c r="HX68" s="292"/>
      <c r="HY68" s="292"/>
      <c r="HZ68" s="292"/>
      <c r="IA68" s="292"/>
      <c r="IB68" s="292"/>
      <c r="IC68" s="292"/>
      <c r="ID68" s="292"/>
      <c r="IE68" s="292"/>
      <c r="IF68" s="292"/>
      <c r="IG68" s="292"/>
      <c r="IH68" s="292"/>
      <c r="II68" s="292"/>
      <c r="IJ68" s="292"/>
      <c r="IK68" s="292"/>
      <c r="IL68" s="292"/>
      <c r="IM68" s="292"/>
      <c r="IN68" s="292"/>
      <c r="IO68" s="292"/>
      <c r="IP68" s="292"/>
      <c r="IQ68" s="292"/>
      <c r="IR68" s="292"/>
      <c r="IS68" s="292"/>
      <c r="IT68" s="292"/>
      <c r="IU68" s="292"/>
      <c r="IV68" s="292"/>
      <c r="IW68" s="292"/>
      <c r="IX68" s="292"/>
      <c r="IY68" s="292"/>
      <c r="IZ68" s="292"/>
      <c r="JA68" s="292"/>
      <c r="JB68" s="292"/>
      <c r="JC68" s="292"/>
      <c r="JD68" s="292"/>
      <c r="JE68" s="292"/>
      <c r="JF68" s="292"/>
      <c r="JG68" s="292"/>
      <c r="JH68" s="292"/>
      <c r="JI68" s="292"/>
      <c r="JJ68" s="292"/>
      <c r="JK68" s="292"/>
      <c r="JL68" s="292"/>
      <c r="JM68" s="292"/>
      <c r="JN68" s="292"/>
      <c r="JO68" s="292"/>
      <c r="JP68" s="292"/>
      <c r="JQ68" s="292"/>
      <c r="JR68" s="292"/>
      <c r="JS68" s="292"/>
      <c r="JT68" s="292"/>
      <c r="JU68" s="292"/>
      <c r="JV68" s="292"/>
      <c r="JW68" s="292"/>
      <c r="JX68" s="292"/>
      <c r="JY68" s="292"/>
      <c r="JZ68" s="292"/>
      <c r="KA68" s="292"/>
      <c r="KB68" s="292"/>
      <c r="KC68" s="292"/>
      <c r="KD68" s="292"/>
      <c r="KE68" s="292"/>
      <c r="KF68" s="292"/>
      <c r="KG68" s="292"/>
      <c r="KH68" s="292"/>
      <c r="KI68" s="292"/>
      <c r="KJ68" s="292"/>
      <c r="KK68" s="292"/>
      <c r="KL68" s="292"/>
      <c r="KM68" s="292"/>
      <c r="KN68" s="292"/>
      <c r="KO68" s="292"/>
      <c r="KP68" s="292"/>
      <c r="KQ68" s="292"/>
      <c r="KR68" s="292"/>
      <c r="KS68" s="292"/>
      <c r="KT68" s="292"/>
      <c r="KU68" s="292"/>
      <c r="KV68" s="292"/>
      <c r="KW68" s="292"/>
      <c r="KX68" s="292"/>
      <c r="KY68" s="292"/>
      <c r="KZ68" s="292"/>
      <c r="LA68" s="292"/>
      <c r="LB68" s="292"/>
      <c r="LC68" s="292"/>
      <c r="LD68" s="292"/>
      <c r="LE68" s="292"/>
      <c r="LF68" s="292"/>
      <c r="LG68" s="292"/>
      <c r="LH68" s="292"/>
      <c r="LI68" s="292"/>
      <c r="LJ68" s="292"/>
      <c r="LK68" s="292"/>
      <c r="LL68" s="292"/>
      <c r="LM68" s="292"/>
      <c r="LN68" s="292"/>
      <c r="LO68" s="292"/>
      <c r="LP68" s="292"/>
      <c r="LQ68" s="292"/>
      <c r="LR68" s="292"/>
      <c r="LS68" s="292"/>
      <c r="LT68" s="292"/>
      <c r="LU68" s="292"/>
      <c r="LV68" s="292"/>
      <c r="LW68" s="292"/>
      <c r="LX68" s="292"/>
      <c r="LY68" s="292"/>
      <c r="LZ68" s="292"/>
      <c r="MA68" s="292"/>
      <c r="MB68" s="292"/>
      <c r="MC68" s="292"/>
      <c r="MD68" s="292"/>
      <c r="ME68" s="292"/>
      <c r="MF68" s="292"/>
      <c r="MG68" s="292"/>
      <c r="MH68" s="292"/>
      <c r="MI68" s="292"/>
      <c r="MJ68" s="292"/>
      <c r="MK68" s="292"/>
      <c r="ML68" s="292"/>
      <c r="MM68" s="292"/>
      <c r="MN68" s="292"/>
      <c r="MO68" s="292"/>
      <c r="MP68" s="292"/>
      <c r="MQ68" s="292"/>
      <c r="MR68" s="292"/>
      <c r="MS68" s="292"/>
      <c r="MT68" s="292"/>
      <c r="MU68" s="292"/>
      <c r="MV68" s="292"/>
      <c r="MW68" s="292"/>
      <c r="MX68" s="292"/>
      <c r="MY68" s="292"/>
      <c r="MZ68" s="292"/>
      <c r="NA68" s="292"/>
      <c r="NB68" s="292"/>
      <c r="NC68" s="292"/>
      <c r="ND68" s="292"/>
      <c r="NE68" s="292"/>
      <c r="NF68" s="292"/>
      <c r="NG68" s="292"/>
      <c r="NH68" s="292"/>
      <c r="NI68" s="292"/>
      <c r="NJ68" s="292"/>
      <c r="NK68" s="292"/>
      <c r="NL68" s="292"/>
      <c r="NM68" s="292"/>
      <c r="NN68" s="292"/>
      <c r="NO68" s="292"/>
      <c r="NP68" s="292"/>
      <c r="NQ68" s="292"/>
      <c r="NR68" s="292"/>
      <c r="NS68" s="292"/>
      <c r="NT68" s="292"/>
      <c r="NU68" s="292"/>
      <c r="NV68" s="292"/>
      <c r="NW68" s="292"/>
      <c r="NX68" s="292"/>
      <c r="NY68" s="568"/>
      <c r="NZ68" s="568"/>
      <c r="OA68" s="575"/>
      <c r="OB68" s="575"/>
      <c r="OC68" s="578"/>
      <c r="OD68" s="578"/>
    </row>
    <row r="69" spans="1:394" s="20" customFormat="1" ht="10.5" customHeight="1">
      <c r="L69" s="17"/>
      <c r="CA69" s="23"/>
      <c r="CB69" s="30"/>
      <c r="CC69" s="30"/>
      <c r="CD69" s="30"/>
      <c r="CE69" s="30"/>
      <c r="CF69" s="30"/>
      <c r="CG69" s="30"/>
      <c r="CH69" s="179"/>
      <c r="CI69" s="289" t="s">
        <v>17</v>
      </c>
      <c r="CJ69" s="162" t="s">
        <v>18</v>
      </c>
      <c r="CK69" s="162"/>
      <c r="CL69" s="162"/>
      <c r="CM69" s="162" t="s">
        <v>116</v>
      </c>
      <c r="CN69" s="182" t="s">
        <v>119</v>
      </c>
      <c r="CO69" s="162"/>
      <c r="CP69" s="178"/>
      <c r="CQ69" s="17"/>
      <c r="CR69" s="17"/>
      <c r="CS69" s="162"/>
      <c r="CT69" s="162"/>
      <c r="CU69" s="22"/>
      <c r="CV69" s="160"/>
      <c r="CW69" s="17"/>
      <c r="EG69" s="292"/>
      <c r="EH69" s="292"/>
      <c r="EI69" s="292"/>
      <c r="EJ69" s="292"/>
      <c r="EK69" s="292"/>
      <c r="EL69" s="292"/>
      <c r="EM69" s="292"/>
      <c r="EN69" s="292"/>
      <c r="EO69" s="292"/>
      <c r="EP69" s="292"/>
      <c r="EQ69" s="292"/>
      <c r="ER69" s="292"/>
      <c r="ES69" s="292"/>
      <c r="ET69" s="292"/>
      <c r="EU69" s="292"/>
      <c r="EV69" s="292"/>
      <c r="EW69" s="292"/>
      <c r="EX69" s="292"/>
      <c r="FA69" s="292"/>
      <c r="FB69" s="292"/>
      <c r="FC69" s="292"/>
      <c r="FD69" s="292"/>
      <c r="FE69" s="292"/>
      <c r="FF69" s="292"/>
      <c r="FG69" s="292"/>
      <c r="FH69" s="292"/>
      <c r="FI69" s="292"/>
      <c r="FJ69" s="292"/>
      <c r="FK69" s="292"/>
      <c r="FL69" s="292"/>
      <c r="FM69" s="292"/>
      <c r="FN69" s="292"/>
      <c r="FO69" s="292"/>
      <c r="FP69" s="292"/>
      <c r="FQ69" s="292"/>
      <c r="FR69" s="292"/>
      <c r="FS69" s="292"/>
      <c r="FT69" s="292"/>
      <c r="FU69" s="292"/>
      <c r="FV69" s="292"/>
      <c r="FW69" s="292"/>
      <c r="FX69" s="292"/>
      <c r="FY69" s="292"/>
      <c r="FZ69" s="292"/>
      <c r="GA69" s="292"/>
      <c r="GB69" s="292"/>
      <c r="GC69" s="292"/>
      <c r="GD69" s="292"/>
      <c r="GE69" s="292"/>
      <c r="GF69" s="292"/>
      <c r="GG69" s="292"/>
      <c r="GH69" s="292"/>
      <c r="GI69" s="292"/>
      <c r="GJ69" s="292"/>
      <c r="GK69" s="292"/>
      <c r="GL69" s="292"/>
      <c r="GM69" s="292"/>
      <c r="GN69" s="292"/>
      <c r="GO69" s="292"/>
      <c r="GP69" s="292"/>
      <c r="GQ69" s="292"/>
      <c r="GR69" s="292"/>
      <c r="GS69" s="292"/>
      <c r="GT69" s="292"/>
      <c r="GU69" s="292"/>
      <c r="GV69" s="292"/>
      <c r="GW69" s="292"/>
      <c r="GX69" s="292"/>
      <c r="GY69" s="292"/>
      <c r="GZ69" s="292"/>
      <c r="HA69" s="292"/>
      <c r="HB69" s="292"/>
      <c r="HC69" s="292"/>
      <c r="HD69" s="292"/>
      <c r="HE69" s="292"/>
      <c r="HF69" s="292"/>
      <c r="HG69" s="292"/>
      <c r="HH69" s="292"/>
      <c r="HI69" s="292"/>
      <c r="HJ69" s="292"/>
      <c r="HK69" s="292"/>
      <c r="HL69" s="292"/>
      <c r="HM69" s="292"/>
      <c r="HN69" s="292"/>
      <c r="HO69" s="292"/>
      <c r="HP69" s="292"/>
      <c r="HQ69" s="292"/>
      <c r="HR69" s="292"/>
      <c r="HS69" s="292"/>
      <c r="HT69" s="292"/>
      <c r="HU69" s="292"/>
      <c r="HV69" s="292"/>
      <c r="HW69" s="292"/>
      <c r="HX69" s="292"/>
      <c r="HY69" s="292"/>
      <c r="HZ69" s="292"/>
      <c r="IA69" s="292"/>
      <c r="IB69" s="292"/>
      <c r="IC69" s="292"/>
      <c r="ID69" s="292"/>
      <c r="IE69" s="292"/>
      <c r="IF69" s="292"/>
      <c r="IG69" s="292"/>
      <c r="IH69" s="292"/>
      <c r="II69" s="292"/>
      <c r="IJ69" s="292"/>
      <c r="IK69" s="292"/>
      <c r="IL69" s="292"/>
      <c r="IM69" s="292"/>
      <c r="IN69" s="292"/>
      <c r="IO69" s="292"/>
      <c r="IP69" s="292"/>
      <c r="IQ69" s="292"/>
      <c r="IR69" s="292"/>
      <c r="IS69" s="292"/>
      <c r="IT69" s="292"/>
      <c r="IU69" s="292"/>
      <c r="IV69" s="292"/>
      <c r="IW69" s="292"/>
      <c r="IX69" s="292"/>
      <c r="IY69" s="292"/>
      <c r="IZ69" s="292"/>
      <c r="JA69" s="292"/>
      <c r="JB69" s="292"/>
      <c r="JC69" s="292"/>
      <c r="JD69" s="292"/>
      <c r="JE69" s="292"/>
      <c r="JF69" s="292"/>
      <c r="JG69" s="292"/>
      <c r="JH69" s="292"/>
      <c r="JI69" s="292"/>
      <c r="JJ69" s="292"/>
      <c r="JK69" s="292"/>
      <c r="JL69" s="292"/>
      <c r="JM69" s="292"/>
      <c r="JN69" s="292"/>
      <c r="JO69" s="292"/>
      <c r="JP69" s="292"/>
      <c r="JQ69" s="292"/>
      <c r="JR69" s="292"/>
      <c r="JS69" s="292"/>
      <c r="JT69" s="292"/>
      <c r="JU69" s="292"/>
      <c r="JV69" s="292"/>
      <c r="JW69" s="292"/>
      <c r="JX69" s="292"/>
      <c r="JY69" s="292"/>
      <c r="JZ69" s="292"/>
      <c r="KA69" s="292"/>
      <c r="KB69" s="292"/>
      <c r="KC69" s="292"/>
      <c r="KD69" s="292"/>
      <c r="KE69" s="292"/>
      <c r="KF69" s="292"/>
      <c r="KG69" s="292"/>
      <c r="KH69" s="292"/>
      <c r="KI69" s="292"/>
      <c r="KJ69" s="292"/>
      <c r="KK69" s="292"/>
      <c r="KL69" s="292"/>
      <c r="KM69" s="292"/>
      <c r="KN69" s="292"/>
      <c r="KO69" s="292"/>
      <c r="KP69" s="292"/>
      <c r="KQ69" s="292"/>
      <c r="KR69" s="292"/>
      <c r="KS69" s="292"/>
      <c r="KT69" s="292"/>
      <c r="KU69" s="292"/>
      <c r="KV69" s="292"/>
      <c r="KW69" s="292"/>
      <c r="KX69" s="292"/>
      <c r="KY69" s="292"/>
      <c r="KZ69" s="292"/>
      <c r="LA69" s="292"/>
      <c r="LB69" s="292"/>
      <c r="LC69" s="292"/>
      <c r="LD69" s="292"/>
      <c r="LE69" s="292"/>
      <c r="LF69" s="292"/>
      <c r="LG69" s="292"/>
      <c r="LH69" s="292"/>
      <c r="LI69" s="292"/>
      <c r="LJ69" s="292"/>
      <c r="LK69" s="292"/>
      <c r="LL69" s="292"/>
      <c r="LM69" s="292"/>
      <c r="LN69" s="292"/>
      <c r="LO69" s="292"/>
      <c r="LP69" s="292"/>
      <c r="LQ69" s="292"/>
      <c r="LR69" s="292"/>
      <c r="LS69" s="292"/>
      <c r="LT69" s="292"/>
      <c r="LU69" s="292"/>
      <c r="LV69" s="292"/>
      <c r="LW69" s="292"/>
      <c r="LX69" s="292"/>
      <c r="LY69" s="292"/>
      <c r="LZ69" s="292"/>
      <c r="MA69" s="292"/>
      <c r="MB69" s="292"/>
      <c r="MC69" s="292"/>
      <c r="MD69" s="292"/>
      <c r="ME69" s="292"/>
      <c r="MF69" s="292"/>
      <c r="MG69" s="292"/>
      <c r="MH69" s="292"/>
      <c r="MI69" s="292"/>
      <c r="MJ69" s="292"/>
      <c r="MK69" s="292"/>
      <c r="ML69" s="292"/>
      <c r="MM69" s="292"/>
      <c r="MN69" s="292"/>
      <c r="MO69" s="292"/>
      <c r="MP69" s="292"/>
      <c r="MQ69" s="292"/>
      <c r="MR69" s="292"/>
      <c r="MS69" s="292"/>
      <c r="MT69" s="292"/>
      <c r="MU69" s="292"/>
      <c r="MV69" s="292"/>
      <c r="MW69" s="292"/>
      <c r="MX69" s="292"/>
      <c r="MY69" s="292"/>
      <c r="MZ69" s="292"/>
      <c r="NA69" s="292"/>
      <c r="NB69" s="292"/>
      <c r="NC69" s="292"/>
      <c r="ND69" s="292"/>
      <c r="NE69" s="292"/>
      <c r="NF69" s="292"/>
      <c r="NG69" s="292"/>
      <c r="NH69" s="292"/>
      <c r="NI69" s="292"/>
      <c r="NJ69" s="292"/>
      <c r="NK69" s="292"/>
      <c r="NL69" s="292"/>
      <c r="NM69" s="292"/>
      <c r="NN69" s="292"/>
      <c r="NO69" s="292"/>
      <c r="NP69" s="292"/>
      <c r="NQ69" s="292"/>
      <c r="NR69" s="292"/>
      <c r="NS69" s="292"/>
      <c r="NT69" s="292"/>
      <c r="NU69" s="292"/>
      <c r="NV69" s="292"/>
      <c r="NW69" s="292"/>
      <c r="NX69" s="292"/>
      <c r="NY69" s="568"/>
      <c r="NZ69" s="568"/>
      <c r="OA69" s="575"/>
      <c r="OB69" s="575"/>
      <c r="OC69" s="578"/>
      <c r="OD69" s="578"/>
    </row>
    <row r="70" spans="1:394" s="20" customFormat="1" ht="10.5" customHeight="1" thickBot="1">
      <c r="L70" s="17"/>
      <c r="CA70" s="23"/>
      <c r="CB70" s="30"/>
      <c r="CC70" s="30"/>
      <c r="CD70" s="30"/>
      <c r="CE70" s="30"/>
      <c r="CF70" s="30"/>
      <c r="CG70" s="30"/>
      <c r="CH70" s="81"/>
      <c r="CI70" s="161" t="s">
        <v>4</v>
      </c>
      <c r="CJ70" s="182" t="s">
        <v>40</v>
      </c>
      <c r="CK70" s="162"/>
      <c r="CL70" s="162"/>
      <c r="CM70" s="184"/>
      <c r="CN70" s="182" t="s">
        <v>133</v>
      </c>
      <c r="CO70" s="162"/>
      <c r="CP70" s="178"/>
      <c r="CQ70" s="17"/>
      <c r="CR70" s="17"/>
      <c r="CS70" s="162"/>
      <c r="CT70" s="162"/>
      <c r="CU70" s="22"/>
      <c r="CV70" s="67"/>
      <c r="CW70" s="17"/>
      <c r="EG70" s="292"/>
      <c r="EH70" s="292"/>
      <c r="EI70" s="292"/>
      <c r="EJ70" s="292"/>
      <c r="EK70" s="292"/>
      <c r="EL70" s="292"/>
      <c r="EM70" s="292"/>
      <c r="EN70" s="292"/>
      <c r="EO70" s="292"/>
      <c r="EP70" s="292"/>
      <c r="EQ70" s="292"/>
      <c r="ER70" s="292"/>
      <c r="ES70" s="292"/>
      <c r="ET70" s="292"/>
      <c r="EU70" s="292"/>
      <c r="EV70" s="292"/>
      <c r="EW70" s="292"/>
      <c r="EX70" s="292"/>
      <c r="FA70" s="292"/>
      <c r="FB70" s="292"/>
      <c r="FC70" s="292"/>
      <c r="FD70" s="292"/>
      <c r="FE70" s="292"/>
      <c r="FF70" s="292"/>
      <c r="FG70" s="292"/>
      <c r="FH70" s="292"/>
      <c r="FI70" s="292"/>
      <c r="FJ70" s="292"/>
      <c r="FK70" s="292"/>
      <c r="FL70" s="292"/>
      <c r="FM70" s="292"/>
      <c r="FN70" s="292"/>
      <c r="FO70" s="292"/>
      <c r="FP70" s="292"/>
      <c r="FQ70" s="292"/>
      <c r="FR70" s="292"/>
      <c r="FS70" s="292"/>
      <c r="FT70" s="292"/>
      <c r="FU70" s="292"/>
      <c r="FV70" s="292"/>
      <c r="FW70" s="292"/>
      <c r="FX70" s="292"/>
      <c r="FY70" s="292"/>
      <c r="FZ70" s="292"/>
      <c r="GA70" s="292"/>
      <c r="GB70" s="292"/>
      <c r="GC70" s="292"/>
      <c r="GD70" s="292"/>
      <c r="GE70" s="292"/>
      <c r="GF70" s="292"/>
      <c r="GG70" s="292"/>
      <c r="GH70" s="292"/>
      <c r="GI70" s="292"/>
      <c r="GJ70" s="292"/>
      <c r="GK70" s="292"/>
      <c r="GL70" s="292"/>
      <c r="GM70" s="292"/>
      <c r="GN70" s="292"/>
      <c r="GO70" s="292"/>
      <c r="GP70" s="292"/>
      <c r="GQ70" s="292"/>
      <c r="GR70" s="292"/>
      <c r="GS70" s="292"/>
      <c r="GT70" s="292"/>
      <c r="GU70" s="292"/>
      <c r="GV70" s="292"/>
      <c r="GW70" s="292"/>
      <c r="GX70" s="292"/>
      <c r="GY70" s="292"/>
      <c r="GZ70" s="292"/>
      <c r="HA70" s="292"/>
      <c r="HB70" s="292"/>
      <c r="HC70" s="292"/>
      <c r="HD70" s="292"/>
      <c r="HE70" s="292"/>
      <c r="HF70" s="292"/>
      <c r="HG70" s="292"/>
      <c r="HH70" s="292"/>
      <c r="HI70" s="292"/>
      <c r="HJ70" s="292"/>
      <c r="HK70" s="292"/>
      <c r="HL70" s="292"/>
      <c r="HM70" s="292"/>
      <c r="HN70" s="292"/>
      <c r="HO70" s="292"/>
      <c r="HP70" s="292"/>
      <c r="HQ70" s="292"/>
      <c r="HR70" s="292"/>
      <c r="HS70" s="292"/>
      <c r="HT70" s="292"/>
      <c r="HU70" s="292"/>
      <c r="HV70" s="292"/>
      <c r="HW70" s="292"/>
      <c r="HX70" s="292"/>
      <c r="HY70" s="292"/>
      <c r="HZ70" s="292"/>
      <c r="IA70" s="292"/>
      <c r="IB70" s="292"/>
      <c r="IC70" s="292"/>
      <c r="ID70" s="292"/>
      <c r="IE70" s="292"/>
      <c r="IF70" s="292"/>
      <c r="IG70" s="292"/>
      <c r="IH70" s="292"/>
      <c r="II70" s="292"/>
      <c r="IJ70" s="292"/>
      <c r="IK70" s="292"/>
      <c r="IL70" s="292"/>
      <c r="IM70" s="292"/>
      <c r="IN70" s="292"/>
      <c r="IO70" s="292"/>
      <c r="IP70" s="292"/>
      <c r="IQ70" s="292"/>
      <c r="IR70" s="292"/>
      <c r="IS70" s="292"/>
      <c r="IT70" s="292"/>
      <c r="IU70" s="292"/>
      <c r="IV70" s="292"/>
      <c r="IW70" s="292"/>
      <c r="IX70" s="292"/>
      <c r="IY70" s="292"/>
      <c r="IZ70" s="292"/>
      <c r="JA70" s="292"/>
      <c r="JB70" s="292"/>
      <c r="JC70" s="292"/>
      <c r="JD70" s="292"/>
      <c r="JE70" s="292"/>
      <c r="JF70" s="292"/>
      <c r="JG70" s="292"/>
      <c r="JH70" s="292"/>
      <c r="JI70" s="292"/>
      <c r="JJ70" s="292"/>
      <c r="JK70" s="292"/>
      <c r="JL70" s="292"/>
      <c r="JM70" s="292"/>
      <c r="JN70" s="292"/>
      <c r="JO70" s="292"/>
      <c r="JP70" s="292"/>
      <c r="JQ70" s="292"/>
      <c r="JR70" s="292"/>
      <c r="JS70" s="292"/>
      <c r="JT70" s="292"/>
      <c r="JU70" s="292"/>
      <c r="JV70" s="292"/>
      <c r="JW70" s="292"/>
      <c r="JX70" s="292"/>
      <c r="JY70" s="292"/>
      <c r="JZ70" s="292"/>
      <c r="KA70" s="292"/>
      <c r="KB70" s="292"/>
      <c r="KC70" s="292"/>
      <c r="KD70" s="292"/>
      <c r="KE70" s="292"/>
      <c r="KF70" s="292"/>
      <c r="KG70" s="292"/>
      <c r="KH70" s="292"/>
      <c r="KI70" s="292"/>
      <c r="KJ70" s="292"/>
      <c r="KK70" s="292"/>
      <c r="KL70" s="292"/>
      <c r="KM70" s="292"/>
      <c r="KN70" s="292"/>
      <c r="KO70" s="292"/>
      <c r="KP70" s="292"/>
      <c r="KQ70" s="292"/>
      <c r="KR70" s="292"/>
      <c r="KS70" s="292"/>
      <c r="KT70" s="292"/>
      <c r="KU70" s="292"/>
      <c r="KV70" s="292"/>
      <c r="KW70" s="292"/>
      <c r="KX70" s="292"/>
      <c r="KY70" s="292"/>
      <c r="KZ70" s="292"/>
      <c r="LA70" s="292"/>
      <c r="LB70" s="292"/>
      <c r="LC70" s="292"/>
      <c r="LD70" s="292"/>
      <c r="LE70" s="292"/>
      <c r="LF70" s="292"/>
      <c r="LG70" s="292"/>
      <c r="LH70" s="292"/>
      <c r="LI70" s="292"/>
      <c r="LJ70" s="292"/>
      <c r="LK70" s="292"/>
      <c r="LL70" s="292"/>
      <c r="LM70" s="292"/>
      <c r="LN70" s="292"/>
      <c r="LO70" s="292"/>
      <c r="LP70" s="292"/>
      <c r="LQ70" s="292"/>
      <c r="LR70" s="292"/>
      <c r="LS70" s="292"/>
      <c r="LT70" s="292"/>
      <c r="LU70" s="292"/>
      <c r="LV70" s="292"/>
      <c r="LW70" s="292"/>
      <c r="LX70" s="292"/>
      <c r="LY70" s="292"/>
      <c r="LZ70" s="292"/>
      <c r="MA70" s="292"/>
      <c r="MB70" s="292"/>
      <c r="MC70" s="292"/>
      <c r="MD70" s="292"/>
      <c r="ME70" s="292"/>
      <c r="MF70" s="292"/>
      <c r="MG70" s="292"/>
      <c r="MH70" s="292"/>
      <c r="MI70" s="292"/>
      <c r="MJ70" s="292"/>
      <c r="MK70" s="292"/>
      <c r="ML70" s="292"/>
      <c r="MM70" s="292"/>
      <c r="MN70" s="292"/>
      <c r="MO70" s="292"/>
      <c r="MP70" s="292"/>
      <c r="MQ70" s="292"/>
      <c r="MR70" s="292"/>
      <c r="MS70" s="292"/>
      <c r="MT70" s="292"/>
      <c r="MU70" s="292"/>
      <c r="MV70" s="292"/>
      <c r="MW70" s="292"/>
      <c r="MX70" s="292"/>
      <c r="MY70" s="292"/>
      <c r="MZ70" s="292"/>
      <c r="NA70" s="292"/>
      <c r="NB70" s="292"/>
      <c r="NC70" s="292"/>
      <c r="ND70" s="292"/>
      <c r="NE70" s="292"/>
      <c r="NF70" s="292"/>
      <c r="NG70" s="292"/>
      <c r="NH70" s="292"/>
      <c r="NI70" s="292"/>
      <c r="NJ70" s="292"/>
      <c r="NK70" s="292"/>
      <c r="NL70" s="292"/>
      <c r="NM70" s="292"/>
      <c r="NN70" s="292"/>
      <c r="NO70" s="292"/>
      <c r="NP70" s="292"/>
      <c r="NQ70" s="292"/>
      <c r="NR70" s="292"/>
      <c r="NS70" s="292"/>
      <c r="NT70" s="292"/>
      <c r="NU70" s="292"/>
      <c r="NV70" s="292"/>
      <c r="NW70" s="292"/>
      <c r="NX70" s="292"/>
      <c r="NY70" s="568"/>
      <c r="NZ70" s="568"/>
      <c r="OA70" s="575"/>
      <c r="OB70" s="575"/>
      <c r="OC70" s="578"/>
      <c r="OD70" s="578"/>
    </row>
    <row r="71" spans="1:394" s="20" customFormat="1" ht="10.5" customHeight="1">
      <c r="L71" s="17"/>
      <c r="CA71" s="23"/>
      <c r="CB71" s="30"/>
      <c r="CC71" s="30"/>
      <c r="CD71" s="30"/>
      <c r="CE71" s="30"/>
      <c r="CF71" s="30"/>
      <c r="CG71" s="30"/>
      <c r="CH71" s="81"/>
      <c r="CI71" s="183"/>
      <c r="CJ71" s="162" t="s">
        <v>134</v>
      </c>
      <c r="CK71" s="162"/>
      <c r="CL71" s="162"/>
      <c r="CM71" s="162" t="s">
        <v>138</v>
      </c>
      <c r="CN71" s="162" t="s">
        <v>143</v>
      </c>
      <c r="CO71" s="185"/>
      <c r="CP71" s="159"/>
      <c r="CQ71" s="182"/>
      <c r="CR71" s="162"/>
      <c r="CS71" s="162"/>
      <c r="CT71" s="107"/>
      <c r="CU71" s="168"/>
      <c r="CV71" s="160"/>
      <c r="CW71" s="17"/>
      <c r="EG71" s="292"/>
      <c r="EH71" s="292"/>
      <c r="EI71" s="292"/>
      <c r="EJ71" s="292"/>
      <c r="EK71" s="292"/>
      <c r="EL71" s="292"/>
      <c r="EM71" s="292"/>
      <c r="EN71" s="292"/>
      <c r="EO71" s="292"/>
      <c r="EP71" s="292"/>
      <c r="EQ71" s="292"/>
      <c r="ER71" s="292"/>
      <c r="ES71" s="292"/>
      <c r="ET71" s="292"/>
      <c r="EU71" s="292"/>
      <c r="EV71" s="292"/>
      <c r="EW71" s="292"/>
      <c r="EX71" s="292"/>
      <c r="FA71" s="292"/>
      <c r="FB71" s="292"/>
      <c r="FC71" s="292"/>
      <c r="FD71" s="292"/>
      <c r="FE71" s="292"/>
      <c r="FF71" s="292"/>
      <c r="FG71" s="292"/>
      <c r="FH71" s="292"/>
      <c r="FI71" s="292"/>
      <c r="FJ71" s="292"/>
      <c r="FK71" s="292"/>
      <c r="FL71" s="292"/>
      <c r="FM71" s="292"/>
      <c r="FN71" s="292"/>
      <c r="FO71" s="292"/>
      <c r="FP71" s="292"/>
      <c r="FQ71" s="292"/>
      <c r="FR71" s="292"/>
      <c r="FS71" s="292"/>
      <c r="FT71" s="292"/>
      <c r="FU71" s="292"/>
      <c r="FV71" s="292"/>
      <c r="FW71" s="292"/>
      <c r="FX71" s="292"/>
      <c r="FY71" s="292"/>
      <c r="FZ71" s="292"/>
      <c r="GA71" s="292"/>
      <c r="GB71" s="292"/>
      <c r="GC71" s="292"/>
      <c r="GD71" s="292"/>
      <c r="GE71" s="292"/>
      <c r="GF71" s="292"/>
      <c r="GG71" s="292"/>
      <c r="GH71" s="292"/>
      <c r="GI71" s="292"/>
      <c r="GJ71" s="292"/>
      <c r="GK71" s="292"/>
      <c r="GL71" s="292"/>
      <c r="GM71" s="292"/>
      <c r="GN71" s="292"/>
      <c r="GO71" s="292"/>
      <c r="GP71" s="292"/>
      <c r="GQ71" s="292"/>
      <c r="GR71" s="292"/>
      <c r="GS71" s="292"/>
      <c r="GT71" s="292"/>
      <c r="GU71" s="292"/>
      <c r="GV71" s="292"/>
      <c r="GW71" s="292"/>
      <c r="GX71" s="292"/>
      <c r="GY71" s="292"/>
      <c r="GZ71" s="292"/>
      <c r="HA71" s="292"/>
      <c r="HB71" s="292"/>
      <c r="HC71" s="292"/>
      <c r="HD71" s="292"/>
      <c r="HE71" s="292"/>
      <c r="HF71" s="292"/>
      <c r="HG71" s="292"/>
      <c r="HH71" s="292"/>
      <c r="HI71" s="292"/>
      <c r="HJ71" s="292"/>
      <c r="HK71" s="292"/>
      <c r="HL71" s="292"/>
      <c r="HM71" s="292"/>
      <c r="HN71" s="292"/>
      <c r="HO71" s="292"/>
      <c r="HP71" s="292"/>
      <c r="HQ71" s="292"/>
      <c r="HR71" s="292"/>
      <c r="HS71" s="292"/>
      <c r="HT71" s="292"/>
      <c r="HU71" s="292"/>
      <c r="HV71" s="292"/>
      <c r="HW71" s="292"/>
      <c r="HX71" s="292"/>
      <c r="HY71" s="292"/>
      <c r="HZ71" s="292"/>
      <c r="IA71" s="292"/>
      <c r="IB71" s="292"/>
      <c r="IC71" s="292"/>
      <c r="ID71" s="292"/>
      <c r="IE71" s="292"/>
      <c r="IF71" s="292"/>
      <c r="IG71" s="292"/>
      <c r="IH71" s="292"/>
      <c r="II71" s="292"/>
      <c r="IJ71" s="292"/>
      <c r="IK71" s="292"/>
      <c r="IL71" s="292"/>
      <c r="IM71" s="292"/>
      <c r="IN71" s="292"/>
      <c r="IO71" s="292"/>
      <c r="IP71" s="292"/>
      <c r="IQ71" s="292"/>
      <c r="IR71" s="292"/>
      <c r="IS71" s="292"/>
      <c r="IT71" s="292"/>
      <c r="IU71" s="292"/>
      <c r="IV71" s="292"/>
      <c r="IW71" s="292"/>
      <c r="IX71" s="292"/>
      <c r="IY71" s="292"/>
      <c r="IZ71" s="292"/>
      <c r="JA71" s="292"/>
      <c r="JB71" s="292"/>
      <c r="JC71" s="292"/>
      <c r="JD71" s="292"/>
      <c r="JE71" s="292"/>
      <c r="JF71" s="292"/>
      <c r="JG71" s="292"/>
      <c r="JH71" s="292"/>
      <c r="JI71" s="292"/>
      <c r="JJ71" s="292"/>
      <c r="JK71" s="292"/>
      <c r="JL71" s="292"/>
      <c r="JM71" s="292"/>
      <c r="JN71" s="292"/>
      <c r="JO71" s="292"/>
      <c r="JP71" s="292"/>
      <c r="JQ71" s="292"/>
      <c r="JR71" s="292"/>
      <c r="JS71" s="292"/>
      <c r="JT71" s="292"/>
      <c r="JU71" s="292"/>
      <c r="JV71" s="292"/>
      <c r="JW71" s="292"/>
      <c r="JX71" s="292"/>
      <c r="JY71" s="292"/>
      <c r="JZ71" s="292"/>
      <c r="KA71" s="292"/>
      <c r="KB71" s="292"/>
      <c r="KC71" s="292"/>
      <c r="KD71" s="292"/>
      <c r="KE71" s="292"/>
      <c r="KF71" s="292"/>
      <c r="KG71" s="292"/>
      <c r="KH71" s="292"/>
      <c r="KI71" s="292"/>
      <c r="KJ71" s="292"/>
      <c r="KK71" s="292"/>
      <c r="KL71" s="292"/>
      <c r="KM71" s="292"/>
      <c r="KN71" s="292"/>
      <c r="KO71" s="292"/>
      <c r="KP71" s="292"/>
      <c r="KQ71" s="292"/>
      <c r="KR71" s="292"/>
      <c r="KS71" s="292"/>
      <c r="KT71" s="292"/>
      <c r="KU71" s="292"/>
      <c r="KV71" s="292"/>
      <c r="KW71" s="292"/>
      <c r="KX71" s="292"/>
      <c r="KY71" s="292"/>
      <c r="KZ71" s="292"/>
      <c r="LA71" s="292"/>
      <c r="LB71" s="292"/>
      <c r="LC71" s="292"/>
      <c r="LD71" s="292"/>
      <c r="LE71" s="292"/>
      <c r="LF71" s="292"/>
      <c r="LG71" s="292"/>
      <c r="LH71" s="292"/>
      <c r="LI71" s="292"/>
      <c r="LJ71" s="292"/>
      <c r="LK71" s="292"/>
      <c r="LL71" s="292"/>
      <c r="LM71" s="292"/>
      <c r="LN71" s="292"/>
      <c r="LO71" s="292"/>
      <c r="LP71" s="292"/>
      <c r="LQ71" s="292"/>
      <c r="LR71" s="292"/>
      <c r="LS71" s="292"/>
      <c r="LT71" s="292"/>
      <c r="LU71" s="292"/>
      <c r="LV71" s="292"/>
      <c r="LW71" s="292"/>
      <c r="LX71" s="292"/>
      <c r="LY71" s="292"/>
      <c r="LZ71" s="292"/>
      <c r="MA71" s="292"/>
      <c r="MB71" s="292"/>
      <c r="MC71" s="292"/>
      <c r="MD71" s="292"/>
      <c r="ME71" s="292"/>
      <c r="MF71" s="292"/>
      <c r="MG71" s="292"/>
      <c r="MH71" s="292"/>
      <c r="MI71" s="292"/>
      <c r="MJ71" s="292"/>
      <c r="MK71" s="292"/>
      <c r="ML71" s="292"/>
      <c r="MM71" s="292"/>
      <c r="MN71" s="292"/>
      <c r="MO71" s="292"/>
      <c r="MP71" s="292"/>
      <c r="MQ71" s="292"/>
      <c r="MR71" s="292"/>
      <c r="MS71" s="292"/>
      <c r="MT71" s="292"/>
      <c r="MU71" s="292"/>
      <c r="MV71" s="292"/>
      <c r="MW71" s="292"/>
      <c r="MX71" s="292"/>
      <c r="MY71" s="292"/>
      <c r="MZ71" s="292"/>
      <c r="NA71" s="292"/>
      <c r="NB71" s="292"/>
      <c r="NC71" s="292"/>
      <c r="ND71" s="292"/>
      <c r="NE71" s="292"/>
      <c r="NF71" s="292"/>
      <c r="NG71" s="292"/>
      <c r="NH71" s="292"/>
      <c r="NI71" s="292"/>
      <c r="NJ71" s="292"/>
      <c r="NK71" s="292"/>
      <c r="NL71" s="292"/>
      <c r="NM71" s="292"/>
      <c r="NN71" s="292"/>
      <c r="NO71" s="292"/>
      <c r="NP71" s="292"/>
      <c r="NQ71" s="292"/>
      <c r="NR71" s="292"/>
      <c r="NS71" s="292"/>
      <c r="NT71" s="292"/>
      <c r="NU71" s="292"/>
      <c r="NV71" s="292"/>
      <c r="NW71" s="292"/>
      <c r="NX71" s="292"/>
      <c r="NY71" s="568"/>
      <c r="NZ71" s="568"/>
      <c r="OA71" s="575"/>
      <c r="OB71" s="575"/>
      <c r="OC71" s="578"/>
      <c r="OD71" s="578"/>
    </row>
    <row r="72" spans="1:394" s="20" customFormat="1" ht="10.5" customHeight="1">
      <c r="L72" s="17"/>
      <c r="CA72" s="30"/>
      <c r="CB72" s="30"/>
      <c r="CD72" s="30"/>
      <c r="CE72" s="30"/>
      <c r="CF72" s="30"/>
      <c r="CG72" s="30"/>
      <c r="CH72" s="121"/>
      <c r="CI72" s="266"/>
      <c r="CJ72" s="267" t="s">
        <v>171</v>
      </c>
      <c r="CK72" s="79"/>
      <c r="CL72" s="79"/>
      <c r="CM72" s="79"/>
      <c r="CN72" s="79"/>
      <c r="CO72" s="79"/>
      <c r="CP72" s="80"/>
      <c r="CQ72" s="17"/>
      <c r="CR72" s="17"/>
      <c r="CS72" s="17"/>
      <c r="CT72" s="17"/>
      <c r="CU72" s="17"/>
      <c r="CV72" s="17"/>
      <c r="CW72" s="17"/>
      <c r="EG72" s="292"/>
      <c r="EH72" s="292"/>
      <c r="EI72" s="292"/>
      <c r="EJ72" s="292"/>
      <c r="EK72" s="292"/>
      <c r="EL72" s="292"/>
      <c r="EM72" s="292"/>
      <c r="EN72" s="292"/>
      <c r="EO72" s="292"/>
      <c r="EP72" s="292"/>
      <c r="EQ72" s="292"/>
      <c r="ER72" s="292"/>
      <c r="ES72" s="292"/>
      <c r="ET72" s="292"/>
      <c r="EU72" s="292"/>
      <c r="EV72" s="292"/>
      <c r="EW72" s="292"/>
      <c r="EX72" s="292"/>
      <c r="FA72" s="292"/>
      <c r="FB72" s="292"/>
      <c r="FC72" s="292"/>
      <c r="FD72" s="292"/>
      <c r="FE72" s="292"/>
      <c r="FF72" s="292"/>
      <c r="FG72" s="292"/>
      <c r="FH72" s="292"/>
      <c r="FI72" s="292"/>
      <c r="FJ72" s="292"/>
      <c r="FK72" s="292"/>
      <c r="FL72" s="292"/>
      <c r="FM72" s="292"/>
      <c r="FN72" s="292"/>
      <c r="FO72" s="292"/>
      <c r="FP72" s="292"/>
      <c r="FQ72" s="292"/>
      <c r="FR72" s="292"/>
      <c r="FS72" s="292"/>
      <c r="FT72" s="292"/>
      <c r="FU72" s="292"/>
      <c r="FV72" s="292"/>
      <c r="FW72" s="292"/>
      <c r="FX72" s="292"/>
      <c r="FY72" s="292"/>
      <c r="FZ72" s="292"/>
      <c r="GA72" s="292"/>
      <c r="GB72" s="292"/>
      <c r="GC72" s="292"/>
      <c r="GD72" s="292"/>
      <c r="GE72" s="292"/>
      <c r="GF72" s="292"/>
      <c r="GG72" s="292"/>
      <c r="GH72" s="292"/>
      <c r="GI72" s="292"/>
      <c r="GJ72" s="292"/>
      <c r="GK72" s="292"/>
      <c r="GL72" s="292"/>
      <c r="GM72" s="292"/>
      <c r="GN72" s="292"/>
      <c r="GO72" s="292"/>
      <c r="GP72" s="292"/>
      <c r="GQ72" s="292"/>
      <c r="GR72" s="292"/>
      <c r="GS72" s="292"/>
      <c r="GT72" s="292"/>
      <c r="GU72" s="292"/>
      <c r="GV72" s="292"/>
      <c r="GW72" s="292"/>
      <c r="GX72" s="292"/>
      <c r="GY72" s="292"/>
      <c r="GZ72" s="292"/>
      <c r="HA72" s="292"/>
      <c r="HB72" s="292"/>
      <c r="HC72" s="292"/>
      <c r="HD72" s="292"/>
      <c r="HE72" s="292"/>
      <c r="HF72" s="292"/>
      <c r="HG72" s="292"/>
      <c r="HH72" s="292"/>
      <c r="HI72" s="292"/>
      <c r="HJ72" s="292"/>
      <c r="HK72" s="292"/>
      <c r="HL72" s="292"/>
      <c r="HM72" s="292"/>
      <c r="HN72" s="292"/>
      <c r="HO72" s="292"/>
      <c r="HP72" s="292"/>
      <c r="HQ72" s="292"/>
      <c r="HR72" s="292"/>
      <c r="HS72" s="292"/>
      <c r="HT72" s="292"/>
      <c r="HU72" s="292"/>
      <c r="HV72" s="292"/>
      <c r="HW72" s="292"/>
      <c r="HX72" s="292"/>
      <c r="HY72" s="292"/>
      <c r="HZ72" s="292"/>
      <c r="IA72" s="292"/>
      <c r="IB72" s="292"/>
      <c r="IC72" s="292"/>
      <c r="ID72" s="292"/>
      <c r="IE72" s="292"/>
      <c r="IF72" s="292"/>
      <c r="IG72" s="292"/>
      <c r="IH72" s="292"/>
      <c r="II72" s="292"/>
      <c r="IJ72" s="292"/>
      <c r="IK72" s="292"/>
      <c r="IL72" s="292"/>
      <c r="IM72" s="292"/>
      <c r="IN72" s="292"/>
      <c r="IO72" s="292"/>
      <c r="IP72" s="292"/>
      <c r="IQ72" s="292"/>
      <c r="IR72" s="292"/>
      <c r="IS72" s="292"/>
      <c r="IT72" s="292"/>
      <c r="IU72" s="292"/>
      <c r="IV72" s="292"/>
      <c r="IW72" s="292"/>
      <c r="IX72" s="292"/>
      <c r="IY72" s="292"/>
      <c r="IZ72" s="292"/>
      <c r="JA72" s="292"/>
      <c r="JB72" s="292"/>
      <c r="JC72" s="292"/>
      <c r="JD72" s="292"/>
      <c r="JE72" s="292"/>
      <c r="JF72" s="292"/>
      <c r="JG72" s="292"/>
      <c r="JH72" s="292"/>
      <c r="JI72" s="292"/>
      <c r="JJ72" s="292"/>
      <c r="JK72" s="292"/>
      <c r="JL72" s="292"/>
      <c r="JM72" s="292"/>
      <c r="JN72" s="292"/>
      <c r="JO72" s="292"/>
      <c r="JP72" s="292"/>
      <c r="JQ72" s="292"/>
      <c r="JR72" s="292"/>
      <c r="JS72" s="292"/>
      <c r="JT72" s="292"/>
      <c r="JU72" s="292"/>
      <c r="JV72" s="292"/>
      <c r="JW72" s="292"/>
      <c r="JX72" s="292"/>
      <c r="JY72" s="292"/>
      <c r="JZ72" s="292"/>
      <c r="KA72" s="292"/>
      <c r="KB72" s="292"/>
      <c r="KC72" s="292"/>
      <c r="KD72" s="292"/>
      <c r="KE72" s="292"/>
      <c r="KF72" s="292"/>
      <c r="KG72" s="292"/>
      <c r="KH72" s="292"/>
      <c r="KI72" s="292"/>
      <c r="KJ72" s="292"/>
      <c r="KK72" s="292"/>
      <c r="KL72" s="292"/>
      <c r="KM72" s="292"/>
      <c r="KN72" s="292"/>
      <c r="KO72" s="292"/>
      <c r="KP72" s="292"/>
      <c r="KQ72" s="292"/>
      <c r="KR72" s="292"/>
      <c r="KS72" s="292"/>
      <c r="KT72" s="292"/>
      <c r="KU72" s="292"/>
      <c r="KV72" s="292"/>
      <c r="KW72" s="292"/>
      <c r="KX72" s="292"/>
      <c r="KY72" s="292"/>
      <c r="KZ72" s="292"/>
      <c r="LA72" s="292"/>
      <c r="LB72" s="292"/>
      <c r="LC72" s="292"/>
      <c r="LD72" s="292"/>
      <c r="LE72" s="292"/>
      <c r="LF72" s="292"/>
      <c r="LG72" s="292"/>
      <c r="LH72" s="292"/>
      <c r="LI72" s="292"/>
      <c r="LJ72" s="292"/>
      <c r="LK72" s="292"/>
      <c r="LL72" s="292"/>
      <c r="LM72" s="292"/>
      <c r="LN72" s="292"/>
      <c r="LO72" s="292"/>
      <c r="LP72" s="292"/>
      <c r="LQ72" s="292"/>
      <c r="LR72" s="292"/>
      <c r="LS72" s="292"/>
      <c r="LT72" s="292"/>
      <c r="LU72" s="292"/>
      <c r="LV72" s="292"/>
      <c r="LW72" s="292"/>
      <c r="LX72" s="292"/>
      <c r="LY72" s="292"/>
      <c r="LZ72" s="292"/>
      <c r="MA72" s="292"/>
      <c r="MB72" s="292"/>
      <c r="MC72" s="292"/>
      <c r="MD72" s="292"/>
      <c r="ME72" s="292"/>
      <c r="MF72" s="292"/>
      <c r="MG72" s="292"/>
      <c r="MH72" s="292"/>
      <c r="MI72" s="292"/>
      <c r="MJ72" s="292"/>
      <c r="MK72" s="292"/>
      <c r="ML72" s="292"/>
      <c r="MM72" s="292"/>
      <c r="MN72" s="292"/>
      <c r="MO72" s="292"/>
      <c r="MP72" s="292"/>
      <c r="MQ72" s="292"/>
      <c r="MR72" s="292"/>
      <c r="MS72" s="292"/>
      <c r="MT72" s="292"/>
      <c r="MU72" s="292"/>
      <c r="MV72" s="292"/>
      <c r="MW72" s="292"/>
      <c r="MX72" s="292"/>
      <c r="MY72" s="292"/>
      <c r="MZ72" s="292"/>
      <c r="NA72" s="292"/>
      <c r="NB72" s="292"/>
      <c r="NC72" s="292"/>
      <c r="ND72" s="292"/>
      <c r="NE72" s="292"/>
      <c r="NF72" s="292"/>
      <c r="NG72" s="292"/>
      <c r="NH72" s="292"/>
      <c r="NI72" s="292"/>
      <c r="NJ72" s="292"/>
      <c r="NK72" s="292"/>
      <c r="NL72" s="292"/>
      <c r="NM72" s="292"/>
      <c r="NN72" s="292"/>
      <c r="NO72" s="292"/>
      <c r="NP72" s="292"/>
      <c r="NQ72" s="292"/>
      <c r="NR72" s="292"/>
      <c r="NS72" s="292"/>
      <c r="NT72" s="292"/>
      <c r="NU72" s="292"/>
      <c r="NV72" s="292"/>
      <c r="NW72" s="292"/>
      <c r="NX72" s="292"/>
      <c r="NY72" s="568"/>
      <c r="NZ72" s="568"/>
      <c r="OA72" s="575"/>
      <c r="OB72" s="575"/>
      <c r="OC72" s="578"/>
      <c r="OD72" s="578"/>
    </row>
    <row r="73" spans="1:394" s="20" customFormat="1" ht="10.5" customHeight="1">
      <c r="L73" s="17"/>
      <c r="P73" s="95" t="s">
        <v>47</v>
      </c>
      <c r="R73" s="17"/>
      <c r="Z73" s="13"/>
      <c r="AA73" s="17"/>
      <c r="AB73" s="17"/>
      <c r="AC73" s="14"/>
      <c r="AD73" s="17"/>
      <c r="CA73" s="23"/>
      <c r="CB73" s="30"/>
      <c r="CC73" s="30"/>
      <c r="CD73" s="30"/>
      <c r="CE73" s="30"/>
      <c r="CF73" s="30"/>
      <c r="CG73" s="30"/>
      <c r="CH73" s="30"/>
      <c r="CI73" s="30"/>
      <c r="CQ73" s="17"/>
      <c r="CR73" s="17"/>
      <c r="CS73" s="17"/>
      <c r="CT73" s="17"/>
      <c r="CU73" s="17"/>
      <c r="CV73" s="17"/>
      <c r="CW73" s="17"/>
      <c r="EG73" s="292"/>
      <c r="EH73" s="292"/>
      <c r="EI73" s="292"/>
      <c r="EJ73" s="292"/>
      <c r="EK73" s="292"/>
      <c r="EL73" s="292"/>
      <c r="EM73" s="292"/>
      <c r="EN73" s="292"/>
      <c r="EO73" s="292"/>
      <c r="EP73" s="292"/>
      <c r="EQ73" s="292"/>
      <c r="ER73" s="292"/>
      <c r="ES73" s="292"/>
      <c r="ET73" s="292"/>
      <c r="EU73" s="292"/>
      <c r="EV73" s="292"/>
      <c r="EW73" s="292"/>
      <c r="EX73" s="292"/>
      <c r="FA73" s="292"/>
      <c r="FB73" s="292"/>
      <c r="FC73" s="292"/>
      <c r="FD73" s="292"/>
      <c r="FE73" s="292"/>
      <c r="FF73" s="292"/>
      <c r="FG73" s="292"/>
      <c r="FH73" s="292"/>
      <c r="FI73" s="292"/>
      <c r="FJ73" s="292"/>
      <c r="FK73" s="292"/>
      <c r="FL73" s="292"/>
      <c r="FM73" s="292"/>
      <c r="FN73" s="292"/>
      <c r="FO73" s="292"/>
      <c r="FP73" s="292"/>
      <c r="FQ73" s="292"/>
      <c r="FR73" s="292"/>
      <c r="FS73" s="292"/>
      <c r="FT73" s="292"/>
      <c r="FU73" s="292"/>
      <c r="FV73" s="292"/>
      <c r="FW73" s="292"/>
      <c r="FX73" s="292"/>
      <c r="FY73" s="292"/>
      <c r="FZ73" s="292"/>
      <c r="GA73" s="292"/>
      <c r="GB73" s="292"/>
      <c r="GC73" s="292"/>
      <c r="GD73" s="292"/>
      <c r="GE73" s="292"/>
      <c r="GF73" s="292"/>
      <c r="GG73" s="292"/>
      <c r="GH73" s="292"/>
      <c r="GI73" s="292"/>
      <c r="GJ73" s="292"/>
      <c r="GK73" s="292"/>
      <c r="GL73" s="292"/>
      <c r="GM73" s="292"/>
      <c r="GN73" s="292"/>
      <c r="GO73" s="292"/>
      <c r="GP73" s="292"/>
      <c r="GQ73" s="292"/>
      <c r="GR73" s="292"/>
      <c r="GS73" s="292"/>
      <c r="GT73" s="292"/>
      <c r="GU73" s="292"/>
      <c r="GV73" s="292"/>
      <c r="GW73" s="292"/>
      <c r="GX73" s="292"/>
      <c r="GY73" s="292"/>
      <c r="GZ73" s="292"/>
      <c r="HA73" s="292"/>
      <c r="HB73" s="292"/>
      <c r="HC73" s="292"/>
      <c r="HD73" s="292"/>
      <c r="HE73" s="292"/>
      <c r="HF73" s="292"/>
      <c r="HG73" s="292"/>
      <c r="HH73" s="292"/>
      <c r="HI73" s="292"/>
      <c r="HJ73" s="292"/>
      <c r="HK73" s="292"/>
      <c r="HL73" s="292"/>
      <c r="HM73" s="292"/>
      <c r="HN73" s="292"/>
      <c r="HO73" s="292"/>
      <c r="HP73" s="292"/>
      <c r="HQ73" s="292"/>
      <c r="HR73" s="292"/>
      <c r="HS73" s="292"/>
      <c r="HT73" s="292"/>
      <c r="HU73" s="292"/>
      <c r="HV73" s="292"/>
      <c r="HW73" s="292"/>
      <c r="HX73" s="292"/>
      <c r="HY73" s="292"/>
      <c r="HZ73" s="292"/>
      <c r="IA73" s="292"/>
      <c r="IB73" s="292"/>
      <c r="IC73" s="292"/>
      <c r="ID73" s="292"/>
      <c r="IE73" s="292"/>
      <c r="IF73" s="292"/>
      <c r="IG73" s="292"/>
      <c r="IH73" s="292"/>
      <c r="II73" s="292"/>
      <c r="IJ73" s="292"/>
      <c r="IK73" s="292"/>
      <c r="IL73" s="292"/>
      <c r="IM73" s="292"/>
      <c r="IN73" s="292"/>
      <c r="IO73" s="292"/>
      <c r="IP73" s="292"/>
      <c r="IQ73" s="292"/>
      <c r="IR73" s="292"/>
      <c r="IS73" s="292"/>
      <c r="IT73" s="292"/>
      <c r="IU73" s="292"/>
      <c r="IV73" s="292"/>
      <c r="IW73" s="292"/>
      <c r="IX73" s="292"/>
      <c r="IY73" s="292"/>
      <c r="IZ73" s="292"/>
      <c r="JA73" s="292"/>
      <c r="JB73" s="292"/>
      <c r="JC73" s="292"/>
      <c r="JD73" s="292"/>
      <c r="JE73" s="292"/>
      <c r="JF73" s="292"/>
      <c r="JG73" s="292"/>
      <c r="JH73" s="292"/>
      <c r="JI73" s="292"/>
      <c r="JJ73" s="292"/>
      <c r="JK73" s="292"/>
      <c r="JL73" s="292"/>
      <c r="JM73" s="292"/>
      <c r="JN73" s="292"/>
      <c r="JO73" s="292"/>
      <c r="JP73" s="292"/>
      <c r="JQ73" s="292"/>
      <c r="JR73" s="292"/>
      <c r="JS73" s="292"/>
      <c r="JT73" s="292"/>
      <c r="JU73" s="292"/>
      <c r="JV73" s="292"/>
      <c r="JW73" s="292"/>
      <c r="JX73" s="292"/>
      <c r="JY73" s="292"/>
      <c r="JZ73" s="292"/>
      <c r="KA73" s="292"/>
      <c r="KB73" s="292"/>
      <c r="KC73" s="292"/>
      <c r="KD73" s="292"/>
      <c r="KE73" s="292"/>
      <c r="KF73" s="292"/>
      <c r="KG73" s="292"/>
      <c r="KH73" s="292"/>
      <c r="KI73" s="292"/>
      <c r="KJ73" s="292"/>
      <c r="KK73" s="292"/>
      <c r="KL73" s="292"/>
      <c r="KM73" s="292"/>
      <c r="KN73" s="292"/>
      <c r="KO73" s="292"/>
      <c r="KP73" s="292"/>
      <c r="KQ73" s="292"/>
      <c r="KR73" s="292"/>
      <c r="KS73" s="292"/>
      <c r="KT73" s="292"/>
      <c r="KU73" s="292"/>
      <c r="KV73" s="292"/>
      <c r="KW73" s="292"/>
      <c r="KX73" s="292"/>
      <c r="KY73" s="292"/>
      <c r="KZ73" s="292"/>
      <c r="LA73" s="292"/>
      <c r="LB73" s="292"/>
      <c r="LC73" s="292"/>
      <c r="LD73" s="292"/>
      <c r="LE73" s="292"/>
      <c r="LF73" s="292"/>
      <c r="LG73" s="292"/>
      <c r="LH73" s="292"/>
      <c r="LI73" s="292"/>
      <c r="LJ73" s="292"/>
      <c r="LK73" s="292"/>
      <c r="LL73" s="292"/>
      <c r="LM73" s="292"/>
      <c r="LN73" s="292"/>
      <c r="LO73" s="292"/>
      <c r="LP73" s="292"/>
      <c r="LQ73" s="292"/>
      <c r="LR73" s="292"/>
      <c r="LS73" s="292"/>
      <c r="LT73" s="292"/>
      <c r="LU73" s="292"/>
      <c r="LV73" s="292"/>
      <c r="LW73" s="292"/>
      <c r="LX73" s="292"/>
      <c r="LY73" s="292"/>
      <c r="LZ73" s="292"/>
      <c r="MA73" s="292"/>
      <c r="MB73" s="292"/>
      <c r="MC73" s="292"/>
      <c r="MD73" s="292"/>
      <c r="ME73" s="292"/>
      <c r="MF73" s="292"/>
      <c r="MG73" s="292"/>
      <c r="MH73" s="292"/>
      <c r="MI73" s="292"/>
      <c r="MJ73" s="292"/>
      <c r="MK73" s="292"/>
      <c r="ML73" s="292"/>
      <c r="MM73" s="292"/>
      <c r="MN73" s="292"/>
      <c r="MO73" s="292"/>
      <c r="MP73" s="292"/>
      <c r="MQ73" s="292"/>
      <c r="MR73" s="292"/>
      <c r="MS73" s="292"/>
      <c r="MT73" s="292"/>
      <c r="MU73" s="292"/>
      <c r="MV73" s="292"/>
      <c r="MW73" s="292"/>
      <c r="MX73" s="292"/>
      <c r="MY73" s="292"/>
      <c r="MZ73" s="292"/>
      <c r="NA73" s="292"/>
      <c r="NB73" s="292"/>
      <c r="NC73" s="292"/>
      <c r="ND73" s="292"/>
      <c r="NE73" s="292"/>
      <c r="NF73" s="292"/>
      <c r="NG73" s="292"/>
      <c r="NH73" s="292"/>
      <c r="NI73" s="292"/>
      <c r="NJ73" s="292"/>
      <c r="NK73" s="292"/>
      <c r="NL73" s="292"/>
      <c r="NM73" s="292"/>
      <c r="NN73" s="292"/>
      <c r="NO73" s="292"/>
      <c r="NP73" s="292"/>
      <c r="NQ73" s="292"/>
      <c r="NR73" s="292"/>
      <c r="NS73" s="292"/>
      <c r="NT73" s="292"/>
      <c r="NU73" s="292"/>
      <c r="NV73" s="292"/>
      <c r="NW73" s="292"/>
      <c r="NX73" s="292"/>
      <c r="NY73" s="568"/>
      <c r="NZ73" s="568"/>
      <c r="OA73" s="575"/>
      <c r="OB73" s="575"/>
      <c r="OC73" s="578"/>
      <c r="OD73" s="578"/>
    </row>
    <row r="74" spans="1:394" s="20" customFormat="1" ht="10.5" customHeight="1">
      <c r="L74" s="17"/>
      <c r="P74" s="98"/>
      <c r="Q74" s="17"/>
      <c r="R74" s="17"/>
      <c r="Z74" s="13"/>
      <c r="AA74" s="17"/>
      <c r="AB74" s="17"/>
      <c r="AC74" s="14"/>
      <c r="AD74" s="17"/>
      <c r="AG74" s="17"/>
      <c r="AJ74" s="17"/>
      <c r="CA74" s="22"/>
      <c r="CB74" s="30"/>
      <c r="CC74" s="30"/>
      <c r="CD74" s="30"/>
      <c r="CE74" s="30"/>
      <c r="CF74" s="30"/>
      <c r="CG74" s="30"/>
      <c r="CH74" s="30"/>
      <c r="CI74" s="30"/>
      <c r="EG74" s="292"/>
      <c r="EH74" s="292"/>
      <c r="EI74" s="292"/>
      <c r="EJ74" s="292"/>
      <c r="EK74" s="292"/>
      <c r="EL74" s="292"/>
      <c r="EM74" s="292"/>
      <c r="EN74" s="292"/>
      <c r="EO74" s="292"/>
      <c r="EP74" s="292"/>
      <c r="EQ74" s="292"/>
      <c r="ER74" s="292"/>
      <c r="ES74" s="292"/>
      <c r="ET74" s="292"/>
      <c r="EU74" s="292"/>
      <c r="EV74" s="292"/>
      <c r="EW74" s="292"/>
      <c r="EX74" s="292"/>
      <c r="FA74" s="292"/>
      <c r="FB74" s="292"/>
      <c r="FC74" s="292"/>
      <c r="FD74" s="292"/>
      <c r="FE74" s="292"/>
      <c r="FF74" s="292"/>
      <c r="FG74" s="292"/>
      <c r="FH74" s="292"/>
      <c r="FI74" s="292"/>
      <c r="FJ74" s="292"/>
      <c r="FK74" s="292"/>
      <c r="FL74" s="292"/>
      <c r="FM74" s="292"/>
      <c r="FN74" s="292"/>
      <c r="FO74" s="292"/>
      <c r="FP74" s="292"/>
      <c r="FQ74" s="292"/>
      <c r="FR74" s="292"/>
      <c r="FS74" s="292"/>
      <c r="FT74" s="292"/>
      <c r="FU74" s="292"/>
      <c r="FV74" s="292"/>
      <c r="FW74" s="292"/>
      <c r="FX74" s="292"/>
      <c r="FY74" s="292"/>
      <c r="FZ74" s="292"/>
      <c r="GA74" s="292"/>
      <c r="GB74" s="292"/>
      <c r="GC74" s="292"/>
      <c r="GD74" s="292"/>
      <c r="GE74" s="292"/>
      <c r="GF74" s="292"/>
      <c r="GG74" s="292"/>
      <c r="GH74" s="292"/>
      <c r="GI74" s="292"/>
      <c r="GJ74" s="292"/>
      <c r="GK74" s="292"/>
      <c r="GL74" s="292"/>
      <c r="GM74" s="292"/>
      <c r="GN74" s="292"/>
      <c r="GO74" s="292"/>
      <c r="GP74" s="292"/>
      <c r="GQ74" s="292"/>
      <c r="GR74" s="292"/>
      <c r="GS74" s="292"/>
      <c r="GT74" s="292"/>
      <c r="GU74" s="292"/>
      <c r="GV74" s="292"/>
      <c r="GW74" s="292"/>
      <c r="GX74" s="292"/>
      <c r="GY74" s="292"/>
      <c r="GZ74" s="292"/>
      <c r="HA74" s="292"/>
      <c r="HB74" s="292"/>
      <c r="HC74" s="292"/>
      <c r="HD74" s="292"/>
      <c r="HE74" s="292"/>
      <c r="HF74" s="292"/>
      <c r="HG74" s="292"/>
      <c r="HH74" s="292"/>
      <c r="HI74" s="292"/>
      <c r="HJ74" s="292"/>
      <c r="HK74" s="292"/>
      <c r="HL74" s="292"/>
      <c r="HM74" s="292"/>
      <c r="HN74" s="292"/>
      <c r="HO74" s="292"/>
      <c r="HP74" s="292"/>
      <c r="HQ74" s="292"/>
      <c r="HR74" s="292"/>
      <c r="HS74" s="292"/>
      <c r="HT74" s="292"/>
      <c r="HU74" s="292"/>
      <c r="HV74" s="292"/>
      <c r="HW74" s="292"/>
      <c r="HX74" s="292"/>
      <c r="HY74" s="292"/>
      <c r="HZ74" s="292"/>
      <c r="IA74" s="292"/>
      <c r="IB74" s="292"/>
      <c r="IC74" s="292"/>
      <c r="ID74" s="292"/>
      <c r="IE74" s="292"/>
      <c r="IF74" s="292"/>
      <c r="IG74" s="292"/>
      <c r="IH74" s="292"/>
      <c r="II74" s="292"/>
      <c r="IJ74" s="292"/>
      <c r="IK74" s="292"/>
      <c r="IL74" s="292"/>
      <c r="IM74" s="292"/>
      <c r="IN74" s="292"/>
      <c r="IO74" s="292"/>
      <c r="IP74" s="292"/>
      <c r="IQ74" s="292"/>
      <c r="IR74" s="292"/>
      <c r="IS74" s="292"/>
      <c r="IT74" s="292"/>
      <c r="IU74" s="292"/>
      <c r="IV74" s="292"/>
      <c r="IW74" s="292"/>
      <c r="IX74" s="292"/>
      <c r="IY74" s="292"/>
      <c r="IZ74" s="292"/>
      <c r="JA74" s="292"/>
      <c r="JB74" s="292"/>
      <c r="JC74" s="292"/>
      <c r="JD74" s="292"/>
      <c r="JE74" s="292"/>
      <c r="JF74" s="292"/>
      <c r="JG74" s="292"/>
      <c r="JH74" s="292"/>
      <c r="JI74" s="292"/>
      <c r="JJ74" s="292"/>
      <c r="JK74" s="292"/>
      <c r="JL74" s="292"/>
      <c r="JM74" s="292"/>
      <c r="JN74" s="292"/>
      <c r="JO74" s="292"/>
      <c r="JP74" s="292"/>
      <c r="JQ74" s="292"/>
      <c r="JR74" s="292"/>
      <c r="JS74" s="292"/>
      <c r="JT74" s="292"/>
      <c r="JU74" s="292"/>
      <c r="JV74" s="292"/>
      <c r="JW74" s="292"/>
      <c r="JX74" s="292"/>
      <c r="JY74" s="292"/>
      <c r="JZ74" s="292"/>
      <c r="KA74" s="292"/>
      <c r="KB74" s="292"/>
      <c r="KC74" s="292"/>
      <c r="KD74" s="292"/>
      <c r="KE74" s="292"/>
      <c r="KF74" s="292"/>
      <c r="KG74" s="292"/>
      <c r="KH74" s="292"/>
      <c r="KI74" s="292"/>
      <c r="KJ74" s="292"/>
      <c r="KK74" s="292"/>
      <c r="KL74" s="292"/>
      <c r="KM74" s="292"/>
      <c r="KN74" s="292"/>
      <c r="KO74" s="292"/>
      <c r="KP74" s="292"/>
      <c r="KQ74" s="292"/>
      <c r="KR74" s="292"/>
      <c r="KS74" s="292"/>
      <c r="KT74" s="292"/>
      <c r="KU74" s="292"/>
      <c r="KV74" s="292"/>
      <c r="KW74" s="292"/>
      <c r="KX74" s="292"/>
      <c r="KY74" s="292"/>
      <c r="KZ74" s="292"/>
      <c r="LA74" s="292"/>
      <c r="LB74" s="292"/>
      <c r="LC74" s="292"/>
      <c r="LD74" s="292"/>
      <c r="LE74" s="292"/>
      <c r="LF74" s="292"/>
      <c r="LG74" s="292"/>
      <c r="LH74" s="292"/>
      <c r="LI74" s="292"/>
      <c r="LJ74" s="292"/>
      <c r="LK74" s="292"/>
      <c r="LL74" s="292"/>
      <c r="LM74" s="292"/>
      <c r="LN74" s="292"/>
      <c r="LO74" s="292"/>
      <c r="LP74" s="292"/>
      <c r="LQ74" s="292"/>
      <c r="LR74" s="292"/>
      <c r="LS74" s="292"/>
      <c r="LT74" s="292"/>
      <c r="LU74" s="292"/>
      <c r="LV74" s="292"/>
      <c r="LW74" s="292"/>
      <c r="LX74" s="292"/>
      <c r="LY74" s="292"/>
      <c r="LZ74" s="292"/>
      <c r="MA74" s="292"/>
      <c r="MB74" s="292"/>
      <c r="MC74" s="292"/>
      <c r="MD74" s="292"/>
      <c r="ME74" s="292"/>
      <c r="MF74" s="292"/>
      <c r="MG74" s="292"/>
      <c r="MH74" s="292"/>
      <c r="MI74" s="292"/>
      <c r="MJ74" s="292"/>
      <c r="MK74" s="292"/>
      <c r="ML74" s="292"/>
      <c r="MM74" s="292"/>
      <c r="MN74" s="292"/>
      <c r="MO74" s="292"/>
      <c r="MP74" s="292"/>
      <c r="MQ74" s="292"/>
      <c r="MR74" s="292"/>
      <c r="MS74" s="292"/>
      <c r="MT74" s="292"/>
      <c r="MU74" s="292"/>
      <c r="MV74" s="292"/>
      <c r="MW74" s="292"/>
      <c r="MX74" s="292"/>
      <c r="MY74" s="292"/>
      <c r="MZ74" s="292"/>
      <c r="NA74" s="292"/>
      <c r="NB74" s="292"/>
      <c r="NC74" s="292"/>
      <c r="ND74" s="292"/>
      <c r="NE74" s="292"/>
      <c r="NF74" s="292"/>
      <c r="NG74" s="292"/>
      <c r="NH74" s="292"/>
      <c r="NI74" s="292"/>
      <c r="NJ74" s="292"/>
      <c r="NK74" s="292"/>
      <c r="NL74" s="292"/>
      <c r="NM74" s="292"/>
      <c r="NN74" s="292"/>
      <c r="NO74" s="292"/>
      <c r="NP74" s="292"/>
      <c r="NQ74" s="292"/>
      <c r="NR74" s="292"/>
      <c r="NS74" s="292"/>
      <c r="NT74" s="292"/>
      <c r="NU74" s="292"/>
      <c r="NV74" s="292"/>
      <c r="NW74" s="292"/>
      <c r="NX74" s="292"/>
      <c r="NY74" s="568"/>
      <c r="NZ74" s="568"/>
      <c r="OA74" s="575"/>
      <c r="OB74" s="575"/>
      <c r="OC74" s="578"/>
      <c r="OD74" s="578"/>
    </row>
    <row r="75" spans="1:394" s="20" customFormat="1" ht="10.5" customHeight="1">
      <c r="L75" s="17"/>
      <c r="P75" s="17" t="s">
        <v>80</v>
      </c>
      <c r="R75" s="17"/>
      <c r="V75" s="20" t="s">
        <v>89</v>
      </c>
      <c r="W75" s="20" t="s">
        <v>327</v>
      </c>
      <c r="Z75" s="13"/>
      <c r="AA75" s="17"/>
      <c r="AB75" s="17"/>
      <c r="AC75" s="14"/>
      <c r="AD75" s="17" t="s">
        <v>124</v>
      </c>
      <c r="CA75" s="29"/>
      <c r="CB75" s="30"/>
      <c r="CC75" s="30"/>
      <c r="CD75" s="30"/>
      <c r="CE75" s="30"/>
      <c r="CF75" s="30"/>
      <c r="CG75" s="30"/>
      <c r="CH75" s="30"/>
      <c r="CI75" s="30"/>
      <c r="EG75" s="292"/>
      <c r="EH75" s="292"/>
      <c r="EI75" s="292"/>
      <c r="EJ75" s="292"/>
      <c r="EK75" s="292"/>
      <c r="EL75" s="292"/>
      <c r="EM75" s="292"/>
      <c r="EN75" s="292"/>
      <c r="EO75" s="292"/>
      <c r="EP75" s="292"/>
      <c r="EQ75" s="292"/>
      <c r="ER75" s="292"/>
      <c r="ES75" s="292"/>
      <c r="ET75" s="292"/>
      <c r="EU75" s="292"/>
      <c r="EV75" s="292"/>
      <c r="EW75" s="292"/>
      <c r="EX75" s="292"/>
      <c r="FA75" s="292"/>
      <c r="FB75" s="292"/>
      <c r="FC75" s="292"/>
      <c r="FD75" s="292"/>
      <c r="FE75" s="292"/>
      <c r="FF75" s="292"/>
      <c r="FG75" s="292"/>
      <c r="FH75" s="292"/>
      <c r="FI75" s="292"/>
      <c r="FJ75" s="292"/>
      <c r="FK75" s="292"/>
      <c r="FL75" s="292"/>
      <c r="FM75" s="292"/>
      <c r="FN75" s="292"/>
      <c r="FO75" s="292"/>
      <c r="FP75" s="292"/>
      <c r="FQ75" s="292"/>
      <c r="FR75" s="292"/>
      <c r="FS75" s="292"/>
      <c r="FT75" s="292"/>
      <c r="FU75" s="292"/>
      <c r="FV75" s="292"/>
      <c r="FW75" s="292"/>
      <c r="FX75" s="292"/>
      <c r="FY75" s="292"/>
      <c r="FZ75" s="292"/>
      <c r="GA75" s="292"/>
      <c r="GB75" s="292"/>
      <c r="GC75" s="292"/>
      <c r="GD75" s="292"/>
      <c r="GE75" s="292"/>
      <c r="GF75" s="292"/>
      <c r="GG75" s="292"/>
      <c r="GH75" s="292"/>
      <c r="GI75" s="292"/>
      <c r="GJ75" s="292"/>
      <c r="GK75" s="292"/>
      <c r="GL75" s="292"/>
      <c r="GM75" s="292"/>
      <c r="GN75" s="292"/>
      <c r="GO75" s="292"/>
      <c r="GP75" s="292"/>
      <c r="GQ75" s="292"/>
      <c r="GR75" s="292"/>
      <c r="GS75" s="292"/>
      <c r="GT75" s="292"/>
      <c r="GU75" s="292"/>
      <c r="GV75" s="292"/>
      <c r="GW75" s="292"/>
      <c r="GX75" s="292"/>
      <c r="GY75" s="292"/>
      <c r="GZ75" s="292"/>
      <c r="HA75" s="292"/>
      <c r="HB75" s="292"/>
      <c r="HC75" s="292"/>
      <c r="HD75" s="292"/>
      <c r="HE75" s="292"/>
      <c r="HF75" s="292"/>
      <c r="HG75" s="292"/>
      <c r="HH75" s="292"/>
      <c r="HI75" s="292"/>
      <c r="HJ75" s="292"/>
      <c r="HK75" s="292"/>
      <c r="HL75" s="292"/>
      <c r="HM75" s="292"/>
      <c r="HN75" s="292"/>
      <c r="HO75" s="292"/>
      <c r="HP75" s="292"/>
      <c r="HQ75" s="292"/>
      <c r="HR75" s="292"/>
      <c r="HS75" s="292"/>
      <c r="HT75" s="292"/>
      <c r="HU75" s="292"/>
      <c r="HV75" s="292"/>
      <c r="HW75" s="292"/>
      <c r="HX75" s="292"/>
      <c r="HY75" s="292"/>
      <c r="HZ75" s="292"/>
      <c r="IA75" s="292"/>
      <c r="IB75" s="292"/>
      <c r="IC75" s="292"/>
      <c r="ID75" s="292"/>
      <c r="IE75" s="292"/>
      <c r="IF75" s="292"/>
      <c r="IG75" s="292"/>
      <c r="IH75" s="292"/>
      <c r="II75" s="292"/>
      <c r="IJ75" s="292"/>
      <c r="IK75" s="292"/>
      <c r="IL75" s="292"/>
      <c r="IM75" s="292"/>
      <c r="IN75" s="292"/>
      <c r="IO75" s="292"/>
      <c r="IP75" s="292"/>
      <c r="IQ75" s="292"/>
      <c r="IR75" s="292"/>
      <c r="IS75" s="292"/>
      <c r="IT75" s="292"/>
      <c r="IU75" s="292"/>
      <c r="IV75" s="292"/>
      <c r="IW75" s="292"/>
      <c r="IX75" s="292"/>
      <c r="IY75" s="292"/>
      <c r="IZ75" s="292"/>
      <c r="JA75" s="292"/>
      <c r="JB75" s="292"/>
      <c r="JC75" s="292"/>
      <c r="JD75" s="292"/>
      <c r="JE75" s="292"/>
      <c r="JF75" s="292"/>
      <c r="JG75" s="292"/>
      <c r="JH75" s="292"/>
      <c r="JI75" s="292"/>
      <c r="JJ75" s="292"/>
      <c r="JK75" s="292"/>
      <c r="JL75" s="292"/>
      <c r="JM75" s="292"/>
      <c r="JN75" s="292"/>
      <c r="JO75" s="292"/>
      <c r="JP75" s="292"/>
      <c r="JQ75" s="292"/>
      <c r="JR75" s="292"/>
      <c r="JS75" s="292"/>
      <c r="JT75" s="292"/>
      <c r="JU75" s="292"/>
      <c r="JV75" s="292"/>
      <c r="JW75" s="292"/>
      <c r="JX75" s="292"/>
      <c r="JY75" s="292"/>
      <c r="JZ75" s="292"/>
      <c r="KA75" s="292"/>
      <c r="KB75" s="292"/>
      <c r="KC75" s="292"/>
      <c r="KD75" s="292"/>
      <c r="KE75" s="292"/>
      <c r="KF75" s="292"/>
      <c r="KG75" s="292"/>
      <c r="KH75" s="292"/>
      <c r="KI75" s="292"/>
      <c r="KJ75" s="292"/>
      <c r="KK75" s="292"/>
      <c r="KL75" s="292"/>
      <c r="KM75" s="292"/>
      <c r="KN75" s="292"/>
      <c r="KO75" s="292"/>
      <c r="KP75" s="292"/>
      <c r="KQ75" s="292"/>
      <c r="KR75" s="292"/>
      <c r="KS75" s="292"/>
      <c r="KT75" s="292"/>
      <c r="KU75" s="292"/>
      <c r="KV75" s="292"/>
      <c r="KW75" s="292"/>
      <c r="KX75" s="292"/>
      <c r="KY75" s="292"/>
      <c r="KZ75" s="292"/>
      <c r="LA75" s="292"/>
      <c r="LB75" s="292"/>
      <c r="LC75" s="292"/>
      <c r="LD75" s="292"/>
      <c r="LE75" s="292"/>
      <c r="LF75" s="292"/>
      <c r="LG75" s="292"/>
      <c r="LH75" s="292"/>
      <c r="LI75" s="292"/>
      <c r="LJ75" s="292"/>
      <c r="LK75" s="292"/>
      <c r="LL75" s="292"/>
      <c r="LM75" s="292"/>
      <c r="LN75" s="292"/>
      <c r="LO75" s="292"/>
      <c r="LP75" s="292"/>
      <c r="LQ75" s="292"/>
      <c r="LR75" s="292"/>
      <c r="LS75" s="292"/>
      <c r="LT75" s="292"/>
      <c r="LU75" s="292"/>
      <c r="LV75" s="292"/>
      <c r="LW75" s="292"/>
      <c r="LX75" s="292"/>
      <c r="LY75" s="292"/>
      <c r="LZ75" s="292"/>
      <c r="MA75" s="292"/>
      <c r="MB75" s="292"/>
      <c r="MC75" s="292"/>
      <c r="MD75" s="292"/>
      <c r="ME75" s="292"/>
      <c r="MF75" s="292"/>
      <c r="MG75" s="292"/>
      <c r="MH75" s="292"/>
      <c r="MI75" s="292"/>
      <c r="MJ75" s="292"/>
      <c r="MK75" s="292"/>
      <c r="ML75" s="292"/>
      <c r="MM75" s="292"/>
      <c r="MN75" s="292"/>
      <c r="MO75" s="292"/>
      <c r="MP75" s="292"/>
      <c r="MQ75" s="292"/>
      <c r="MR75" s="292"/>
      <c r="MS75" s="292"/>
      <c r="MT75" s="292"/>
      <c r="MU75" s="292"/>
      <c r="MV75" s="292"/>
      <c r="MW75" s="292"/>
      <c r="MX75" s="292"/>
      <c r="MY75" s="292"/>
      <c r="MZ75" s="292"/>
      <c r="NA75" s="292"/>
      <c r="NB75" s="292"/>
      <c r="NC75" s="292"/>
      <c r="ND75" s="292"/>
      <c r="NE75" s="292"/>
      <c r="NF75" s="292"/>
      <c r="NG75" s="292"/>
      <c r="NH75" s="292"/>
      <c r="NI75" s="292"/>
      <c r="NJ75" s="292"/>
      <c r="NK75" s="292"/>
      <c r="NL75" s="292"/>
      <c r="NM75" s="292"/>
      <c r="NN75" s="292"/>
      <c r="NO75" s="292"/>
      <c r="NP75" s="292"/>
      <c r="NQ75" s="292"/>
      <c r="NR75" s="292"/>
      <c r="NS75" s="292"/>
      <c r="NT75" s="292"/>
      <c r="NU75" s="292"/>
      <c r="NV75" s="292"/>
      <c r="NW75" s="292"/>
      <c r="NX75" s="292"/>
      <c r="NY75" s="568"/>
      <c r="NZ75" s="568"/>
      <c r="OA75" s="575"/>
      <c r="OB75" s="575"/>
      <c r="OC75" s="578"/>
      <c r="OD75" s="578"/>
    </row>
    <row r="76" spans="1:394" s="20" customFormat="1" ht="10.5" customHeight="1">
      <c r="L76" s="17"/>
      <c r="P76" s="20" t="s">
        <v>76</v>
      </c>
      <c r="R76" s="17"/>
      <c r="T76" s="88"/>
      <c r="U76" s="17"/>
      <c r="V76" s="20" t="s">
        <v>91</v>
      </c>
      <c r="W76" s="292" t="s">
        <v>298</v>
      </c>
      <c r="X76" s="17"/>
      <c r="AA76" s="13"/>
      <c r="AD76" s="20" t="s">
        <v>125</v>
      </c>
      <c r="AL76" s="23"/>
      <c r="AM76" s="37"/>
      <c r="AO76" s="37"/>
      <c r="AS76" s="23"/>
      <c r="AT76" s="37"/>
      <c r="AU76" s="37"/>
      <c r="AV76" s="23"/>
      <c r="AW76" s="37"/>
      <c r="AX76" s="37"/>
      <c r="AY76" s="36"/>
      <c r="AZ76" s="23"/>
      <c r="BA76" s="37"/>
      <c r="BB76" s="23"/>
      <c r="BC76" s="37"/>
      <c r="BD76" s="36"/>
      <c r="BE76" s="23"/>
      <c r="BF76" s="37"/>
      <c r="BG76" s="36"/>
      <c r="BH76" s="23"/>
      <c r="BI76" s="37"/>
      <c r="BJ76" s="36"/>
      <c r="BK76" s="23"/>
      <c r="BL76" s="37"/>
      <c r="BM76" s="36"/>
      <c r="BN76" s="23"/>
      <c r="BO76" s="37"/>
      <c r="BP76" s="36"/>
      <c r="BQ76" s="23"/>
      <c r="BR76" s="37"/>
      <c r="BS76" s="23"/>
      <c r="BT76" s="37"/>
      <c r="BU76" s="37"/>
      <c r="BV76" s="37"/>
      <c r="BW76" s="23"/>
      <c r="BX76" s="36"/>
      <c r="BY76" s="36"/>
      <c r="BZ76" s="37"/>
      <c r="CA76" s="23"/>
      <c r="CB76" s="395"/>
      <c r="CC76" s="30"/>
      <c r="CD76" s="30"/>
      <c r="CE76" s="30"/>
      <c r="CF76" s="30"/>
      <c r="CG76" s="30"/>
      <c r="CH76" s="30"/>
      <c r="CI76" s="30"/>
      <c r="EG76" s="292"/>
      <c r="EH76" s="292"/>
      <c r="EI76" s="292"/>
      <c r="EJ76" s="292"/>
      <c r="EK76" s="292"/>
      <c r="EL76" s="292"/>
      <c r="EM76" s="292"/>
      <c r="EN76" s="292"/>
      <c r="EO76" s="292"/>
      <c r="EP76" s="292"/>
      <c r="EQ76" s="292"/>
      <c r="ER76" s="292"/>
      <c r="ES76" s="292"/>
      <c r="ET76" s="292"/>
      <c r="EU76" s="292"/>
      <c r="EV76" s="292"/>
      <c r="EW76" s="292"/>
      <c r="EX76" s="292"/>
      <c r="FA76" s="292"/>
      <c r="FB76" s="292"/>
      <c r="FC76" s="292"/>
      <c r="FD76" s="292"/>
      <c r="FE76" s="292"/>
      <c r="FF76" s="292"/>
      <c r="FG76" s="292"/>
      <c r="FH76" s="292"/>
      <c r="FI76" s="292"/>
      <c r="FJ76" s="292"/>
      <c r="FK76" s="292"/>
      <c r="FL76" s="292"/>
      <c r="FM76" s="292"/>
      <c r="FN76" s="292"/>
      <c r="FO76" s="292"/>
      <c r="FP76" s="292"/>
      <c r="FQ76" s="292"/>
      <c r="FR76" s="292"/>
      <c r="FS76" s="292"/>
      <c r="FT76" s="292"/>
      <c r="FU76" s="292"/>
      <c r="FV76" s="292"/>
      <c r="FW76" s="292"/>
      <c r="FX76" s="292"/>
      <c r="FY76" s="292"/>
      <c r="FZ76" s="292"/>
      <c r="GA76" s="292"/>
      <c r="GB76" s="292"/>
      <c r="GC76" s="292"/>
      <c r="GD76" s="292"/>
      <c r="GE76" s="292"/>
      <c r="GF76" s="292"/>
      <c r="GG76" s="292"/>
      <c r="GH76" s="292"/>
      <c r="GI76" s="292"/>
      <c r="GJ76" s="292"/>
      <c r="GK76" s="292"/>
      <c r="GL76" s="292"/>
      <c r="GM76" s="292"/>
      <c r="GN76" s="292"/>
      <c r="GO76" s="292"/>
      <c r="GP76" s="292"/>
      <c r="GQ76" s="292"/>
      <c r="GR76" s="292"/>
      <c r="GS76" s="292"/>
      <c r="GT76" s="292"/>
      <c r="GU76" s="292"/>
      <c r="GV76" s="292"/>
      <c r="GW76" s="292"/>
      <c r="GX76" s="292"/>
      <c r="GY76" s="292"/>
      <c r="GZ76" s="292"/>
      <c r="HA76" s="292"/>
      <c r="HB76" s="292"/>
      <c r="HC76" s="292"/>
      <c r="HD76" s="292"/>
      <c r="HE76" s="292"/>
      <c r="HF76" s="292"/>
      <c r="HG76" s="292"/>
      <c r="HH76" s="292"/>
      <c r="HI76" s="292"/>
      <c r="HJ76" s="292"/>
      <c r="HK76" s="292"/>
      <c r="HL76" s="292"/>
      <c r="HM76" s="292"/>
      <c r="HN76" s="292"/>
      <c r="HO76" s="292"/>
      <c r="HP76" s="292"/>
      <c r="HQ76" s="292"/>
      <c r="HR76" s="292"/>
      <c r="HS76" s="292"/>
      <c r="HT76" s="292"/>
      <c r="HU76" s="292"/>
      <c r="HV76" s="292"/>
      <c r="HW76" s="292"/>
      <c r="HX76" s="292"/>
      <c r="HY76" s="292"/>
      <c r="HZ76" s="292"/>
      <c r="IA76" s="292"/>
      <c r="IB76" s="292"/>
      <c r="IC76" s="292"/>
      <c r="ID76" s="292"/>
      <c r="IE76" s="292"/>
      <c r="IF76" s="292"/>
      <c r="IG76" s="292"/>
      <c r="IH76" s="292"/>
      <c r="II76" s="292"/>
      <c r="IJ76" s="292"/>
      <c r="IK76" s="292"/>
      <c r="IL76" s="292"/>
      <c r="IM76" s="292"/>
      <c r="IN76" s="292"/>
      <c r="IO76" s="292"/>
      <c r="IP76" s="292"/>
      <c r="IQ76" s="292"/>
      <c r="IR76" s="292"/>
      <c r="IS76" s="292"/>
      <c r="IT76" s="292"/>
      <c r="IU76" s="292"/>
      <c r="IV76" s="292"/>
      <c r="IW76" s="292"/>
      <c r="IX76" s="292"/>
      <c r="IY76" s="292"/>
      <c r="IZ76" s="292"/>
      <c r="JA76" s="292"/>
      <c r="JB76" s="292"/>
      <c r="JC76" s="292"/>
      <c r="JD76" s="292"/>
      <c r="JE76" s="292"/>
      <c r="JF76" s="292"/>
      <c r="JG76" s="292"/>
      <c r="JH76" s="292"/>
      <c r="JI76" s="292"/>
      <c r="JJ76" s="292"/>
      <c r="JK76" s="292"/>
      <c r="JL76" s="292"/>
      <c r="JM76" s="292"/>
      <c r="JN76" s="292"/>
      <c r="JO76" s="292"/>
      <c r="JP76" s="292"/>
      <c r="JQ76" s="292"/>
      <c r="JR76" s="292"/>
      <c r="JS76" s="292"/>
      <c r="JT76" s="292"/>
      <c r="JU76" s="292"/>
      <c r="JV76" s="292"/>
      <c r="JW76" s="292"/>
      <c r="JX76" s="292"/>
      <c r="JY76" s="292"/>
      <c r="JZ76" s="292"/>
      <c r="KA76" s="292"/>
      <c r="KB76" s="292"/>
      <c r="KC76" s="292"/>
      <c r="KD76" s="292"/>
      <c r="KE76" s="292"/>
      <c r="KF76" s="292"/>
      <c r="KG76" s="292"/>
      <c r="KH76" s="292"/>
      <c r="KI76" s="292"/>
      <c r="KJ76" s="292"/>
      <c r="KK76" s="292"/>
      <c r="KL76" s="292"/>
      <c r="KM76" s="292"/>
      <c r="KN76" s="292"/>
      <c r="KO76" s="292"/>
      <c r="KP76" s="292"/>
      <c r="KQ76" s="292"/>
      <c r="KR76" s="292"/>
      <c r="KS76" s="292"/>
      <c r="KT76" s="292"/>
      <c r="KU76" s="292"/>
      <c r="KV76" s="292"/>
      <c r="KW76" s="292"/>
      <c r="KX76" s="292"/>
      <c r="KY76" s="292"/>
      <c r="KZ76" s="292"/>
      <c r="LA76" s="292"/>
      <c r="LB76" s="292"/>
      <c r="LC76" s="292"/>
      <c r="LD76" s="292"/>
      <c r="LE76" s="292"/>
      <c r="LF76" s="292"/>
      <c r="LG76" s="292"/>
      <c r="LH76" s="292"/>
      <c r="LI76" s="292"/>
      <c r="LJ76" s="292"/>
      <c r="LK76" s="292"/>
      <c r="LL76" s="292"/>
      <c r="LM76" s="292"/>
      <c r="LN76" s="292"/>
      <c r="LO76" s="292"/>
      <c r="LP76" s="292"/>
      <c r="LQ76" s="292"/>
      <c r="LR76" s="292"/>
      <c r="LS76" s="292"/>
      <c r="LT76" s="292"/>
      <c r="LU76" s="292"/>
      <c r="LV76" s="292"/>
      <c r="LW76" s="292"/>
      <c r="LX76" s="292"/>
      <c r="LY76" s="292"/>
      <c r="LZ76" s="292"/>
      <c r="MA76" s="292"/>
      <c r="MB76" s="292"/>
      <c r="MC76" s="292"/>
      <c r="MD76" s="292"/>
      <c r="ME76" s="292"/>
      <c r="MF76" s="292"/>
      <c r="MG76" s="292"/>
      <c r="MH76" s="292"/>
      <c r="MI76" s="292"/>
      <c r="MJ76" s="292"/>
      <c r="MK76" s="292"/>
      <c r="ML76" s="292"/>
      <c r="MM76" s="292"/>
      <c r="MN76" s="292"/>
      <c r="MO76" s="292"/>
      <c r="MP76" s="292"/>
      <c r="MQ76" s="292"/>
      <c r="MR76" s="292"/>
      <c r="MS76" s="292"/>
      <c r="MT76" s="292"/>
      <c r="MU76" s="292"/>
      <c r="MV76" s="292"/>
      <c r="MW76" s="292"/>
      <c r="MX76" s="292"/>
      <c r="MY76" s="292"/>
      <c r="MZ76" s="292"/>
      <c r="NA76" s="292"/>
      <c r="NB76" s="292"/>
      <c r="NC76" s="292"/>
      <c r="ND76" s="292"/>
      <c r="NE76" s="292"/>
      <c r="NF76" s="292"/>
      <c r="NG76" s="292"/>
      <c r="NH76" s="292"/>
      <c r="NI76" s="292"/>
      <c r="NJ76" s="292"/>
      <c r="NK76" s="292"/>
      <c r="NL76" s="292"/>
      <c r="NM76" s="292"/>
      <c r="NN76" s="292"/>
      <c r="NO76" s="292"/>
      <c r="NP76" s="292"/>
      <c r="NQ76" s="292"/>
      <c r="NR76" s="292"/>
      <c r="NS76" s="292"/>
      <c r="NT76" s="292"/>
      <c r="NU76" s="292"/>
      <c r="NV76" s="292"/>
      <c r="NW76" s="292"/>
      <c r="NX76" s="292"/>
      <c r="NY76" s="568"/>
      <c r="NZ76" s="568"/>
      <c r="OA76" s="575"/>
      <c r="OB76" s="575"/>
      <c r="OC76" s="578"/>
      <c r="OD76" s="578"/>
    </row>
    <row r="77" spans="1:394" s="20" customFormat="1" ht="10.5" customHeight="1">
      <c r="L77" s="17"/>
      <c r="P77" s="20" t="s">
        <v>164</v>
      </c>
      <c r="V77" s="20" t="s">
        <v>92</v>
      </c>
      <c r="W77" s="292" t="s">
        <v>198</v>
      </c>
      <c r="AD77" s="20" t="s">
        <v>301</v>
      </c>
      <c r="AE77" s="17"/>
      <c r="AL77" s="29"/>
      <c r="AM77" s="37"/>
      <c r="AO77" s="37"/>
      <c r="AS77" s="29"/>
      <c r="AT77" s="37"/>
      <c r="AU77" s="37"/>
      <c r="AV77" s="29"/>
      <c r="AW77" s="37"/>
      <c r="AX77" s="37"/>
      <c r="AY77" s="22"/>
      <c r="AZ77" s="29"/>
      <c r="BA77" s="37"/>
      <c r="BB77" s="29"/>
      <c r="BC77" s="37"/>
      <c r="BD77" s="22"/>
      <c r="BE77" s="29"/>
      <c r="BF77" s="37"/>
      <c r="BG77" s="22"/>
      <c r="BH77" s="29"/>
      <c r="BI77" s="37"/>
      <c r="BJ77" s="22"/>
      <c r="BK77" s="29"/>
      <c r="BL77" s="37"/>
      <c r="BM77" s="22"/>
      <c r="BN77" s="29"/>
      <c r="BO77" s="37"/>
      <c r="BP77" s="22"/>
      <c r="BQ77" s="29"/>
      <c r="BR77" s="37"/>
      <c r="BS77" s="29"/>
      <c r="BT77" s="37"/>
      <c r="BU77" s="37"/>
      <c r="BV77" s="37"/>
      <c r="BW77" s="29"/>
      <c r="BX77" s="22"/>
      <c r="BY77" s="22"/>
      <c r="BZ77" s="37"/>
      <c r="CA77" s="23"/>
      <c r="CB77" s="395"/>
      <c r="CC77" s="30"/>
      <c r="CD77" s="30"/>
      <c r="CE77" s="30"/>
      <c r="CF77" s="30"/>
      <c r="CG77" s="629" t="s">
        <v>12</v>
      </c>
      <c r="CH77" s="630"/>
      <c r="CI77" s="630"/>
      <c r="CJ77" s="630"/>
      <c r="CK77" s="631"/>
      <c r="CL77" s="176"/>
      <c r="CM77" s="176"/>
      <c r="CN77" s="17"/>
      <c r="CO77" s="176"/>
      <c r="CP77" s="176"/>
      <c r="CQ77" s="17"/>
      <c r="EG77" s="292"/>
      <c r="EH77" s="292"/>
      <c r="EI77" s="292"/>
      <c r="EJ77" s="292"/>
      <c r="EK77" s="292"/>
      <c r="EL77" s="292"/>
      <c r="EM77" s="292"/>
      <c r="EN77" s="292"/>
      <c r="EO77" s="292"/>
      <c r="EP77" s="292"/>
      <c r="EQ77" s="292"/>
      <c r="ER77" s="292"/>
      <c r="ES77" s="292"/>
      <c r="ET77" s="292"/>
      <c r="EU77" s="292"/>
      <c r="EV77" s="292"/>
      <c r="EW77" s="292"/>
      <c r="EX77" s="292"/>
      <c r="FA77" s="292"/>
      <c r="FB77" s="292"/>
      <c r="FC77" s="292"/>
      <c r="FD77" s="292"/>
      <c r="FE77" s="292"/>
      <c r="FF77" s="292"/>
      <c r="FG77" s="292"/>
      <c r="FH77" s="292"/>
      <c r="FI77" s="292"/>
      <c r="FJ77" s="292"/>
      <c r="FK77" s="292"/>
      <c r="FL77" s="292"/>
      <c r="FM77" s="292"/>
      <c r="FN77" s="292"/>
      <c r="FO77" s="292"/>
      <c r="FP77" s="292"/>
      <c r="FQ77" s="292"/>
      <c r="FR77" s="292"/>
      <c r="FS77" s="292"/>
      <c r="FT77" s="292"/>
      <c r="FU77" s="292"/>
      <c r="FV77" s="292"/>
      <c r="FW77" s="292"/>
      <c r="FX77" s="292"/>
      <c r="FY77" s="292"/>
      <c r="FZ77" s="292"/>
      <c r="GA77" s="292"/>
      <c r="GB77" s="292"/>
      <c r="GC77" s="292"/>
      <c r="GD77" s="292"/>
      <c r="GE77" s="292"/>
      <c r="GF77" s="292"/>
      <c r="GG77" s="292"/>
      <c r="GH77" s="292"/>
      <c r="GI77" s="292"/>
      <c r="GJ77" s="292"/>
      <c r="GK77" s="292"/>
      <c r="GL77" s="292"/>
      <c r="GM77" s="292"/>
      <c r="GN77" s="292"/>
      <c r="GO77" s="292"/>
      <c r="GP77" s="292"/>
      <c r="GQ77" s="292"/>
      <c r="GR77" s="292"/>
      <c r="GS77" s="292"/>
      <c r="GT77" s="292"/>
      <c r="GU77" s="292"/>
      <c r="GV77" s="292"/>
      <c r="GW77" s="292"/>
      <c r="GX77" s="292"/>
      <c r="GY77" s="292"/>
      <c r="GZ77" s="292"/>
      <c r="HA77" s="292"/>
      <c r="HB77" s="292"/>
      <c r="HC77" s="292"/>
      <c r="HD77" s="292"/>
      <c r="HE77" s="292"/>
      <c r="HF77" s="292"/>
      <c r="HG77" s="292"/>
      <c r="HH77" s="292"/>
      <c r="HI77" s="292"/>
      <c r="HJ77" s="292"/>
      <c r="HK77" s="292"/>
      <c r="HL77" s="292"/>
      <c r="HM77" s="292"/>
      <c r="HN77" s="292"/>
      <c r="HO77" s="292"/>
      <c r="HP77" s="292"/>
      <c r="HQ77" s="292"/>
      <c r="HR77" s="292"/>
      <c r="HS77" s="292"/>
      <c r="HT77" s="292"/>
      <c r="HU77" s="292"/>
      <c r="HV77" s="292"/>
      <c r="HW77" s="292"/>
      <c r="HX77" s="292"/>
      <c r="HY77" s="292"/>
      <c r="HZ77" s="292"/>
      <c r="IA77" s="292"/>
      <c r="IB77" s="292"/>
      <c r="IC77" s="292"/>
      <c r="ID77" s="292"/>
      <c r="IE77" s="292"/>
      <c r="IF77" s="292"/>
      <c r="IG77" s="292"/>
      <c r="IH77" s="292"/>
      <c r="II77" s="292"/>
      <c r="IJ77" s="292"/>
      <c r="IK77" s="292"/>
      <c r="IL77" s="292"/>
      <c r="IM77" s="292"/>
      <c r="IN77" s="292"/>
      <c r="IO77" s="292"/>
      <c r="IP77" s="292"/>
      <c r="IQ77" s="292"/>
      <c r="IR77" s="292"/>
      <c r="IS77" s="292"/>
      <c r="IT77" s="292"/>
      <c r="IU77" s="292"/>
      <c r="IV77" s="292"/>
      <c r="IW77" s="292"/>
      <c r="IX77" s="292"/>
      <c r="IY77" s="292"/>
      <c r="IZ77" s="292"/>
      <c r="JA77" s="292"/>
      <c r="JB77" s="292"/>
      <c r="JC77" s="292"/>
      <c r="JD77" s="292"/>
      <c r="JE77" s="292"/>
      <c r="JF77" s="292"/>
      <c r="JG77" s="292"/>
      <c r="JH77" s="292"/>
      <c r="JI77" s="292"/>
      <c r="JJ77" s="292"/>
      <c r="JK77" s="292"/>
      <c r="JL77" s="292"/>
      <c r="JM77" s="292"/>
      <c r="JN77" s="292"/>
      <c r="JO77" s="292"/>
      <c r="JP77" s="292"/>
      <c r="JQ77" s="292"/>
      <c r="JR77" s="292"/>
      <c r="JS77" s="292"/>
      <c r="JT77" s="292"/>
      <c r="JU77" s="292"/>
      <c r="JV77" s="292"/>
      <c r="JW77" s="292"/>
      <c r="JX77" s="292"/>
      <c r="JY77" s="292"/>
      <c r="JZ77" s="292"/>
      <c r="KA77" s="292"/>
      <c r="KB77" s="292"/>
      <c r="KC77" s="292"/>
      <c r="KD77" s="292"/>
      <c r="KE77" s="292"/>
      <c r="KF77" s="292"/>
      <c r="KG77" s="292"/>
      <c r="KH77" s="292"/>
      <c r="KI77" s="292"/>
      <c r="KJ77" s="292"/>
      <c r="KK77" s="292"/>
      <c r="KL77" s="292"/>
      <c r="KM77" s="292"/>
      <c r="KN77" s="292"/>
      <c r="KO77" s="292"/>
      <c r="KP77" s="292"/>
      <c r="KQ77" s="292"/>
      <c r="KR77" s="292"/>
      <c r="KS77" s="292"/>
      <c r="KT77" s="292"/>
      <c r="KU77" s="292"/>
      <c r="KV77" s="292"/>
      <c r="KW77" s="292"/>
      <c r="KX77" s="292"/>
      <c r="KY77" s="292"/>
      <c r="KZ77" s="292"/>
      <c r="LA77" s="292"/>
      <c r="LB77" s="292"/>
      <c r="LC77" s="292"/>
      <c r="LD77" s="292"/>
      <c r="LE77" s="292"/>
      <c r="LF77" s="292"/>
      <c r="LG77" s="292"/>
      <c r="LH77" s="292"/>
      <c r="LI77" s="292"/>
      <c r="LJ77" s="292"/>
      <c r="LK77" s="292"/>
      <c r="LL77" s="292"/>
      <c r="LM77" s="292"/>
      <c r="LN77" s="292"/>
      <c r="LO77" s="292"/>
      <c r="LP77" s="292"/>
      <c r="LQ77" s="292"/>
      <c r="LR77" s="292"/>
      <c r="LS77" s="292"/>
      <c r="LT77" s="292"/>
      <c r="LU77" s="292"/>
      <c r="LV77" s="292"/>
      <c r="LW77" s="292"/>
      <c r="LX77" s="292"/>
      <c r="LY77" s="292"/>
      <c r="LZ77" s="292"/>
      <c r="MA77" s="292"/>
      <c r="MB77" s="292"/>
      <c r="MC77" s="292"/>
      <c r="MD77" s="292"/>
      <c r="ME77" s="292"/>
      <c r="MF77" s="292"/>
      <c r="MG77" s="292"/>
      <c r="MH77" s="292"/>
      <c r="MI77" s="292"/>
      <c r="MJ77" s="292"/>
      <c r="MK77" s="292"/>
      <c r="ML77" s="292"/>
      <c r="MM77" s="292"/>
      <c r="MN77" s="292"/>
      <c r="MO77" s="292"/>
      <c r="MP77" s="292"/>
      <c r="MQ77" s="292"/>
      <c r="MR77" s="292"/>
      <c r="MS77" s="292"/>
      <c r="MT77" s="292"/>
      <c r="MU77" s="292"/>
      <c r="MV77" s="292"/>
      <c r="MW77" s="292"/>
      <c r="MX77" s="292"/>
      <c r="MY77" s="292"/>
      <c r="MZ77" s="292"/>
      <c r="NA77" s="292"/>
      <c r="NB77" s="292"/>
      <c r="NC77" s="292"/>
      <c r="ND77" s="292"/>
      <c r="NE77" s="292"/>
      <c r="NF77" s="292"/>
      <c r="NG77" s="292"/>
      <c r="NH77" s="292"/>
      <c r="NI77" s="292"/>
      <c r="NJ77" s="292"/>
      <c r="NK77" s="292"/>
      <c r="NL77" s="292"/>
      <c r="NM77" s="292"/>
      <c r="NN77" s="292"/>
      <c r="NO77" s="292"/>
      <c r="NP77" s="292"/>
      <c r="NQ77" s="292"/>
      <c r="NR77" s="292"/>
      <c r="NS77" s="292"/>
      <c r="NT77" s="292"/>
      <c r="NU77" s="292"/>
      <c r="NV77" s="292"/>
      <c r="NW77" s="292"/>
      <c r="NX77" s="292"/>
      <c r="NY77" s="568"/>
      <c r="NZ77" s="568"/>
      <c r="OA77" s="575"/>
      <c r="OB77" s="575"/>
      <c r="OC77" s="578"/>
      <c r="OD77" s="578"/>
    </row>
    <row r="78" spans="1:394" s="20" customFormat="1" ht="10.5" customHeight="1">
      <c r="L78" s="17"/>
      <c r="P78" s="20" t="s">
        <v>220</v>
      </c>
      <c r="Q78" s="96"/>
      <c r="R78" s="14"/>
      <c r="S78" s="17"/>
      <c r="V78" s="17" t="s">
        <v>120</v>
      </c>
      <c r="W78" s="20" t="s">
        <v>121</v>
      </c>
      <c r="AD78" s="20" t="s">
        <v>296</v>
      </c>
      <c r="AL78" s="23"/>
      <c r="AM78" s="37"/>
      <c r="AO78" s="37"/>
      <c r="AS78" s="23"/>
      <c r="AT78" s="37"/>
      <c r="AU78" s="37"/>
      <c r="AV78" s="23"/>
      <c r="AW78" s="37"/>
      <c r="AX78" s="37"/>
      <c r="AY78" s="22"/>
      <c r="AZ78" s="23"/>
      <c r="BA78" s="37"/>
      <c r="BB78" s="23"/>
      <c r="BC78" s="37"/>
      <c r="BD78" s="22"/>
      <c r="BE78" s="23"/>
      <c r="BF78" s="37"/>
      <c r="BG78" s="22"/>
      <c r="BH78" s="23"/>
      <c r="BI78" s="37"/>
      <c r="BJ78" s="22"/>
      <c r="BK78" s="23"/>
      <c r="BL78" s="37"/>
      <c r="BM78" s="22"/>
      <c r="BN78" s="23"/>
      <c r="BO78" s="37"/>
      <c r="BP78" s="22"/>
      <c r="BQ78" s="23"/>
      <c r="BR78" s="37"/>
      <c r="BS78" s="23"/>
      <c r="BT78" s="37"/>
      <c r="BU78" s="37"/>
      <c r="BV78" s="37"/>
      <c r="BW78" s="23"/>
      <c r="BX78" s="22"/>
      <c r="BY78" s="22"/>
      <c r="BZ78" s="37"/>
      <c r="CA78" s="23"/>
      <c r="CB78" s="395"/>
      <c r="CC78" s="30"/>
      <c r="CD78" s="30"/>
      <c r="CE78" s="30"/>
      <c r="CF78" s="30"/>
      <c r="CG78" s="179" t="s">
        <v>15</v>
      </c>
      <c r="CH78" s="162"/>
      <c r="CI78" s="162"/>
      <c r="CJ78" s="162"/>
      <c r="CK78" s="159"/>
      <c r="CL78" s="162"/>
      <c r="CM78" s="17"/>
      <c r="CN78" s="17"/>
      <c r="CO78" s="162"/>
      <c r="CP78" s="160"/>
      <c r="CQ78" s="17"/>
      <c r="EG78" s="292"/>
      <c r="EH78" s="292"/>
      <c r="EI78" s="292"/>
      <c r="EJ78" s="292"/>
      <c r="EK78" s="292"/>
      <c r="EL78" s="292"/>
      <c r="EM78" s="292"/>
      <c r="EN78" s="292"/>
      <c r="EO78" s="292"/>
      <c r="EP78" s="292"/>
      <c r="EQ78" s="292"/>
      <c r="ER78" s="292"/>
      <c r="ES78" s="292"/>
      <c r="ET78" s="292"/>
      <c r="EU78" s="292"/>
      <c r="EV78" s="292"/>
      <c r="EW78" s="292"/>
      <c r="EX78" s="292"/>
      <c r="FA78" s="292"/>
      <c r="FB78" s="292"/>
      <c r="FC78" s="292"/>
      <c r="FD78" s="292"/>
      <c r="FE78" s="292"/>
      <c r="FF78" s="292"/>
      <c r="FG78" s="292"/>
      <c r="FH78" s="292"/>
      <c r="FI78" s="292"/>
      <c r="FJ78" s="292"/>
      <c r="FK78" s="292"/>
      <c r="FL78" s="292"/>
      <c r="FM78" s="292"/>
      <c r="FN78" s="292"/>
      <c r="FO78" s="292"/>
      <c r="FP78" s="292"/>
      <c r="FQ78" s="292"/>
      <c r="FR78" s="292"/>
      <c r="FS78" s="292"/>
      <c r="FT78" s="292"/>
      <c r="FU78" s="292"/>
      <c r="FV78" s="292"/>
      <c r="FW78" s="292"/>
      <c r="FX78" s="292"/>
      <c r="FY78" s="292"/>
      <c r="FZ78" s="292"/>
      <c r="GA78" s="292"/>
      <c r="GB78" s="292"/>
      <c r="GC78" s="292"/>
      <c r="GD78" s="292"/>
      <c r="GE78" s="292"/>
      <c r="GF78" s="292"/>
      <c r="GG78" s="292"/>
      <c r="GH78" s="292"/>
      <c r="GI78" s="292"/>
      <c r="GJ78" s="292"/>
      <c r="GK78" s="292"/>
      <c r="GL78" s="292"/>
      <c r="GM78" s="292"/>
      <c r="GN78" s="292"/>
      <c r="GO78" s="292"/>
      <c r="GP78" s="292"/>
      <c r="GQ78" s="292"/>
      <c r="GR78" s="292"/>
      <c r="GS78" s="292"/>
      <c r="GT78" s="292"/>
      <c r="GU78" s="292"/>
      <c r="GV78" s="292"/>
      <c r="GW78" s="292"/>
      <c r="GX78" s="292"/>
      <c r="GY78" s="292"/>
      <c r="GZ78" s="292"/>
      <c r="HA78" s="292"/>
      <c r="HB78" s="292"/>
      <c r="HC78" s="292"/>
      <c r="HD78" s="292"/>
      <c r="HE78" s="292"/>
      <c r="HF78" s="292"/>
      <c r="HG78" s="292"/>
      <c r="HH78" s="292"/>
      <c r="HI78" s="292"/>
      <c r="HJ78" s="292"/>
      <c r="HK78" s="292"/>
      <c r="HL78" s="292"/>
      <c r="HM78" s="292"/>
      <c r="HN78" s="292"/>
      <c r="HO78" s="292"/>
      <c r="HP78" s="292"/>
      <c r="HQ78" s="292"/>
      <c r="HR78" s="292"/>
      <c r="HS78" s="292"/>
      <c r="HT78" s="292"/>
      <c r="HU78" s="292"/>
      <c r="HV78" s="292"/>
      <c r="HW78" s="292"/>
      <c r="HX78" s="292"/>
      <c r="HY78" s="292"/>
      <c r="HZ78" s="292"/>
      <c r="IA78" s="292"/>
      <c r="IB78" s="292"/>
      <c r="IC78" s="292"/>
      <c r="ID78" s="292"/>
      <c r="IE78" s="292"/>
      <c r="IF78" s="292"/>
      <c r="IG78" s="292"/>
      <c r="IH78" s="292"/>
      <c r="II78" s="292"/>
      <c r="IJ78" s="292"/>
      <c r="IK78" s="292"/>
      <c r="IL78" s="292"/>
      <c r="IM78" s="292"/>
      <c r="IN78" s="292"/>
      <c r="IO78" s="292"/>
      <c r="IP78" s="292"/>
      <c r="IQ78" s="292"/>
      <c r="IR78" s="292"/>
      <c r="IS78" s="292"/>
      <c r="IT78" s="292"/>
      <c r="IU78" s="292"/>
      <c r="IV78" s="292"/>
      <c r="IW78" s="292"/>
      <c r="IX78" s="292"/>
      <c r="IY78" s="292"/>
      <c r="IZ78" s="292"/>
      <c r="JA78" s="292"/>
      <c r="JB78" s="292"/>
      <c r="JC78" s="292"/>
      <c r="JD78" s="292"/>
      <c r="JE78" s="292"/>
      <c r="JF78" s="292"/>
      <c r="JG78" s="292"/>
      <c r="JH78" s="292"/>
      <c r="JI78" s="292"/>
      <c r="JJ78" s="292"/>
      <c r="JK78" s="292"/>
      <c r="JL78" s="292"/>
      <c r="JM78" s="292"/>
      <c r="JN78" s="292"/>
      <c r="JO78" s="292"/>
      <c r="JP78" s="292"/>
      <c r="JQ78" s="292"/>
      <c r="JR78" s="292"/>
      <c r="JS78" s="292"/>
      <c r="JT78" s="292"/>
      <c r="JU78" s="292"/>
      <c r="JV78" s="292"/>
      <c r="JW78" s="292"/>
      <c r="JX78" s="292"/>
      <c r="JY78" s="292"/>
      <c r="JZ78" s="292"/>
      <c r="KA78" s="292"/>
      <c r="KB78" s="292"/>
      <c r="KC78" s="292"/>
      <c r="KD78" s="292"/>
      <c r="KE78" s="292"/>
      <c r="KF78" s="292"/>
      <c r="KG78" s="292"/>
      <c r="KH78" s="292"/>
      <c r="KI78" s="292"/>
      <c r="KJ78" s="292"/>
      <c r="KK78" s="292"/>
      <c r="KL78" s="292"/>
      <c r="KM78" s="292"/>
      <c r="KN78" s="292"/>
      <c r="KO78" s="292"/>
      <c r="KP78" s="292"/>
      <c r="KQ78" s="292"/>
      <c r="KR78" s="292"/>
      <c r="KS78" s="292"/>
      <c r="KT78" s="292"/>
      <c r="KU78" s="292"/>
      <c r="KV78" s="292"/>
      <c r="KW78" s="292"/>
      <c r="KX78" s="292"/>
      <c r="KY78" s="292"/>
      <c r="KZ78" s="292"/>
      <c r="LA78" s="292"/>
      <c r="LB78" s="292"/>
      <c r="LC78" s="292"/>
      <c r="LD78" s="292"/>
      <c r="LE78" s="292"/>
      <c r="LF78" s="292"/>
      <c r="LG78" s="292"/>
      <c r="LH78" s="292"/>
      <c r="LI78" s="292"/>
      <c r="LJ78" s="292"/>
      <c r="LK78" s="292"/>
      <c r="LL78" s="292"/>
      <c r="LM78" s="292"/>
      <c r="LN78" s="292"/>
      <c r="LO78" s="292"/>
      <c r="LP78" s="292"/>
      <c r="LQ78" s="292"/>
      <c r="LR78" s="292"/>
      <c r="LS78" s="292"/>
      <c r="LT78" s="292"/>
      <c r="LU78" s="292"/>
      <c r="LV78" s="292"/>
      <c r="LW78" s="292"/>
      <c r="LX78" s="292"/>
      <c r="LY78" s="292"/>
      <c r="LZ78" s="292"/>
      <c r="MA78" s="292"/>
      <c r="MB78" s="292"/>
      <c r="MC78" s="292"/>
      <c r="MD78" s="292"/>
      <c r="ME78" s="292"/>
      <c r="MF78" s="292"/>
      <c r="MG78" s="292"/>
      <c r="MH78" s="292"/>
      <c r="MI78" s="292"/>
      <c r="MJ78" s="292"/>
      <c r="MK78" s="292"/>
      <c r="ML78" s="292"/>
      <c r="MM78" s="292"/>
      <c r="MN78" s="292"/>
      <c r="MO78" s="292"/>
      <c r="MP78" s="292"/>
      <c r="MQ78" s="292"/>
      <c r="MR78" s="292"/>
      <c r="MS78" s="292"/>
      <c r="MT78" s="292"/>
      <c r="MU78" s="292"/>
      <c r="MV78" s="292"/>
      <c r="MW78" s="292"/>
      <c r="MX78" s="292"/>
      <c r="MY78" s="292"/>
      <c r="MZ78" s="292"/>
      <c r="NA78" s="292"/>
      <c r="NB78" s="292"/>
      <c r="NC78" s="292"/>
      <c r="ND78" s="292"/>
      <c r="NE78" s="292"/>
      <c r="NF78" s="292"/>
      <c r="NG78" s="292"/>
      <c r="NH78" s="292"/>
      <c r="NI78" s="292"/>
      <c r="NJ78" s="292"/>
      <c r="NK78" s="292"/>
      <c r="NL78" s="292"/>
      <c r="NM78" s="292"/>
      <c r="NN78" s="292"/>
      <c r="NO78" s="292"/>
      <c r="NP78" s="292"/>
      <c r="NQ78" s="292"/>
      <c r="NR78" s="292"/>
      <c r="NS78" s="292"/>
      <c r="NT78" s="292"/>
      <c r="NU78" s="292"/>
      <c r="NV78" s="292"/>
      <c r="NW78" s="292"/>
      <c r="NX78" s="292"/>
      <c r="NY78" s="568"/>
      <c r="NZ78" s="568"/>
      <c r="OA78" s="575"/>
      <c r="OB78" s="575"/>
      <c r="OC78" s="578"/>
      <c r="OD78" s="578"/>
    </row>
    <row r="79" spans="1:394" s="20" customFormat="1" ht="10.5" customHeight="1">
      <c r="L79" s="17"/>
      <c r="P79" s="20" t="s">
        <v>244</v>
      </c>
      <c r="Q79" s="14"/>
      <c r="R79" s="17"/>
      <c r="U79" s="17"/>
      <c r="V79" s="20" t="s">
        <v>122</v>
      </c>
      <c r="W79" s="20" t="s">
        <v>123</v>
      </c>
      <c r="AA79" s="17"/>
      <c r="AB79" s="17"/>
      <c r="AC79" s="14"/>
      <c r="AD79" s="20" t="s">
        <v>169</v>
      </c>
      <c r="AG79" s="17"/>
      <c r="AJ79" s="17"/>
      <c r="AM79" s="77"/>
      <c r="AO79" s="77"/>
      <c r="AT79" s="77"/>
      <c r="AU79" s="77"/>
      <c r="AW79" s="77"/>
      <c r="AX79" s="77"/>
      <c r="BA79" s="77"/>
      <c r="BC79" s="77"/>
      <c r="BF79" s="77"/>
      <c r="BI79" s="77"/>
      <c r="BL79" s="77"/>
      <c r="BO79" s="77"/>
      <c r="BR79" s="77"/>
      <c r="BT79" s="77"/>
      <c r="BU79" s="77"/>
      <c r="BV79" s="77"/>
      <c r="BZ79" s="77"/>
      <c r="CA79" s="29"/>
      <c r="CB79" s="30"/>
      <c r="CC79" s="30"/>
      <c r="CD79" s="30"/>
      <c r="CE79" s="30"/>
      <c r="CF79" s="30"/>
      <c r="CG79" s="179" t="s">
        <v>21</v>
      </c>
      <c r="CH79" s="162"/>
      <c r="CI79" s="162" t="s">
        <v>16</v>
      </c>
      <c r="CJ79" s="162"/>
      <c r="CK79" s="159"/>
      <c r="CL79" s="162"/>
      <c r="CM79" s="17"/>
      <c r="CN79" s="17"/>
      <c r="CO79" s="162"/>
      <c r="CP79" s="162"/>
      <c r="CQ79" s="17"/>
      <c r="EG79" s="292"/>
      <c r="EH79" s="292"/>
      <c r="EI79" s="292"/>
      <c r="EJ79" s="292"/>
      <c r="EK79" s="292"/>
      <c r="EL79" s="292"/>
      <c r="EM79" s="292"/>
      <c r="EN79" s="292"/>
      <c r="EO79" s="292"/>
      <c r="EP79" s="292"/>
      <c r="EQ79" s="292"/>
      <c r="ER79" s="292"/>
      <c r="ES79" s="292"/>
      <c r="ET79" s="292"/>
      <c r="EU79" s="292"/>
      <c r="EV79" s="292"/>
      <c r="EW79" s="292"/>
      <c r="EX79" s="292"/>
      <c r="FA79" s="292"/>
      <c r="FB79" s="292"/>
      <c r="FC79" s="292"/>
      <c r="FD79" s="292"/>
      <c r="FE79" s="292"/>
      <c r="FF79" s="292"/>
      <c r="FG79" s="292"/>
      <c r="FH79" s="292"/>
      <c r="FI79" s="292"/>
      <c r="FJ79" s="292"/>
      <c r="FK79" s="292"/>
      <c r="FL79" s="292"/>
      <c r="FM79" s="292"/>
      <c r="FN79" s="292"/>
      <c r="FO79" s="292"/>
      <c r="FP79" s="292"/>
      <c r="FQ79" s="292"/>
      <c r="FR79" s="292"/>
      <c r="FS79" s="292"/>
      <c r="FT79" s="292"/>
      <c r="FU79" s="292"/>
      <c r="FV79" s="292"/>
      <c r="FW79" s="292"/>
      <c r="FX79" s="292"/>
      <c r="FY79" s="292"/>
      <c r="FZ79" s="292"/>
      <c r="GA79" s="292"/>
      <c r="GB79" s="292"/>
      <c r="GC79" s="292"/>
      <c r="GD79" s="292"/>
      <c r="GE79" s="292"/>
      <c r="GF79" s="292"/>
      <c r="GG79" s="292"/>
      <c r="GH79" s="292"/>
      <c r="GI79" s="292"/>
      <c r="GJ79" s="292"/>
      <c r="GK79" s="292"/>
      <c r="GL79" s="292"/>
      <c r="GM79" s="292"/>
      <c r="GN79" s="292"/>
      <c r="GO79" s="292"/>
      <c r="GP79" s="292"/>
      <c r="GQ79" s="292"/>
      <c r="GR79" s="292"/>
      <c r="GS79" s="292"/>
      <c r="GT79" s="292"/>
      <c r="GU79" s="292"/>
      <c r="GV79" s="292"/>
      <c r="GW79" s="292"/>
      <c r="GX79" s="292"/>
      <c r="GY79" s="292"/>
      <c r="GZ79" s="292"/>
      <c r="HA79" s="292"/>
      <c r="HB79" s="292"/>
      <c r="HC79" s="292"/>
      <c r="HD79" s="292"/>
      <c r="HE79" s="292"/>
      <c r="HF79" s="292"/>
      <c r="HG79" s="292"/>
      <c r="HH79" s="292"/>
      <c r="HI79" s="292"/>
      <c r="HJ79" s="292"/>
      <c r="HK79" s="292"/>
      <c r="HL79" s="292"/>
      <c r="HM79" s="292"/>
      <c r="HN79" s="292"/>
      <c r="HO79" s="292"/>
      <c r="HP79" s="292"/>
      <c r="HQ79" s="292"/>
      <c r="HR79" s="292"/>
      <c r="HS79" s="292"/>
      <c r="HT79" s="292"/>
      <c r="HU79" s="292"/>
      <c r="HV79" s="292"/>
      <c r="HW79" s="292"/>
      <c r="HX79" s="292"/>
      <c r="HY79" s="292"/>
      <c r="HZ79" s="292"/>
      <c r="IA79" s="292"/>
      <c r="IB79" s="292"/>
      <c r="IC79" s="292"/>
      <c r="ID79" s="292"/>
      <c r="IE79" s="292"/>
      <c r="IF79" s="292"/>
      <c r="IG79" s="292"/>
      <c r="IH79" s="292"/>
      <c r="II79" s="292"/>
      <c r="IJ79" s="292"/>
      <c r="IK79" s="292"/>
      <c r="IL79" s="292"/>
      <c r="IM79" s="292"/>
      <c r="IN79" s="292"/>
      <c r="IO79" s="292"/>
      <c r="IP79" s="292"/>
      <c r="IQ79" s="292"/>
      <c r="IR79" s="292"/>
      <c r="IS79" s="292"/>
      <c r="IT79" s="292"/>
      <c r="IU79" s="292"/>
      <c r="IV79" s="292"/>
      <c r="IW79" s="292"/>
      <c r="IX79" s="292"/>
      <c r="IY79" s="292"/>
      <c r="IZ79" s="292"/>
      <c r="JA79" s="292"/>
      <c r="JB79" s="292"/>
      <c r="JC79" s="292"/>
      <c r="JD79" s="292"/>
      <c r="JE79" s="292"/>
      <c r="JF79" s="292"/>
      <c r="JG79" s="292"/>
      <c r="JH79" s="292"/>
      <c r="JI79" s="292"/>
      <c r="JJ79" s="292"/>
      <c r="JK79" s="292"/>
      <c r="JL79" s="292"/>
      <c r="JM79" s="292"/>
      <c r="JN79" s="292"/>
      <c r="JO79" s="292"/>
      <c r="JP79" s="292"/>
      <c r="JQ79" s="292"/>
      <c r="JR79" s="292"/>
      <c r="JS79" s="292"/>
      <c r="JT79" s="292"/>
      <c r="JU79" s="292"/>
      <c r="JV79" s="292"/>
      <c r="JW79" s="292"/>
      <c r="JX79" s="292"/>
      <c r="JY79" s="292"/>
      <c r="JZ79" s="292"/>
      <c r="KA79" s="292"/>
      <c r="KB79" s="292"/>
      <c r="KC79" s="292"/>
      <c r="KD79" s="292"/>
      <c r="KE79" s="292"/>
      <c r="KF79" s="292"/>
      <c r="KG79" s="292"/>
      <c r="KH79" s="292"/>
      <c r="KI79" s="292"/>
      <c r="KJ79" s="292"/>
      <c r="KK79" s="292"/>
      <c r="KL79" s="292"/>
      <c r="KM79" s="292"/>
      <c r="KN79" s="292"/>
      <c r="KO79" s="292"/>
      <c r="KP79" s="292"/>
      <c r="KQ79" s="292"/>
      <c r="KR79" s="292"/>
      <c r="KS79" s="292"/>
      <c r="KT79" s="292"/>
      <c r="KU79" s="292"/>
      <c r="KV79" s="292"/>
      <c r="KW79" s="292"/>
      <c r="KX79" s="292"/>
      <c r="KY79" s="292"/>
      <c r="KZ79" s="292"/>
      <c r="LA79" s="292"/>
      <c r="LB79" s="292"/>
      <c r="LC79" s="292"/>
      <c r="LD79" s="292"/>
      <c r="LE79" s="292"/>
      <c r="LF79" s="292"/>
      <c r="LG79" s="292"/>
      <c r="LH79" s="292"/>
      <c r="LI79" s="292"/>
      <c r="LJ79" s="292"/>
      <c r="LK79" s="292"/>
      <c r="LL79" s="292"/>
      <c r="LM79" s="292"/>
      <c r="LN79" s="292"/>
      <c r="LO79" s="292"/>
      <c r="LP79" s="292"/>
      <c r="LQ79" s="292"/>
      <c r="LR79" s="292"/>
      <c r="LS79" s="292"/>
      <c r="LT79" s="292"/>
      <c r="LU79" s="292"/>
      <c r="LV79" s="292"/>
      <c r="LW79" s="292"/>
      <c r="LX79" s="292"/>
      <c r="LY79" s="292"/>
      <c r="LZ79" s="292"/>
      <c r="MA79" s="292"/>
      <c r="MB79" s="292"/>
      <c r="MC79" s="292"/>
      <c r="MD79" s="292"/>
      <c r="ME79" s="292"/>
      <c r="MF79" s="292"/>
      <c r="MG79" s="292"/>
      <c r="MH79" s="292"/>
      <c r="MI79" s="292"/>
      <c r="MJ79" s="292"/>
      <c r="MK79" s="292"/>
      <c r="ML79" s="292"/>
      <c r="MM79" s="292"/>
      <c r="MN79" s="292"/>
      <c r="MO79" s="292"/>
      <c r="MP79" s="292"/>
      <c r="MQ79" s="292"/>
      <c r="MR79" s="292"/>
      <c r="MS79" s="292"/>
      <c r="MT79" s="292"/>
      <c r="MU79" s="292"/>
      <c r="MV79" s="292"/>
      <c r="MW79" s="292"/>
      <c r="MX79" s="292"/>
      <c r="MY79" s="292"/>
      <c r="MZ79" s="292"/>
      <c r="NA79" s="292"/>
      <c r="NB79" s="292"/>
      <c r="NC79" s="292"/>
      <c r="ND79" s="292"/>
      <c r="NE79" s="292"/>
      <c r="NF79" s="292"/>
      <c r="NG79" s="292"/>
      <c r="NH79" s="292"/>
      <c r="NI79" s="292"/>
      <c r="NJ79" s="292"/>
      <c r="NK79" s="292"/>
      <c r="NL79" s="292"/>
      <c r="NM79" s="292"/>
      <c r="NN79" s="292"/>
      <c r="NO79" s="292"/>
      <c r="NP79" s="292"/>
      <c r="NQ79" s="292"/>
      <c r="NR79" s="292"/>
      <c r="NS79" s="292"/>
      <c r="NT79" s="292"/>
      <c r="NU79" s="292"/>
      <c r="NV79" s="292"/>
      <c r="NW79" s="292"/>
      <c r="NX79" s="292"/>
      <c r="NY79" s="568"/>
      <c r="NZ79" s="568"/>
      <c r="OA79" s="575"/>
      <c r="OB79" s="575"/>
      <c r="OC79" s="578"/>
      <c r="OD79" s="578"/>
    </row>
    <row r="80" spans="1:394" s="20" customFormat="1" ht="10.5" customHeight="1">
      <c r="A80" s="23"/>
      <c r="L80" s="17"/>
      <c r="AE80" s="13"/>
      <c r="AG80" s="17"/>
      <c r="AJ80" s="17"/>
      <c r="AL80" s="29"/>
      <c r="AM80" s="77"/>
      <c r="AO80" s="77"/>
      <c r="AS80" s="29"/>
      <c r="AT80" s="77"/>
      <c r="AU80" s="77"/>
      <c r="AV80" s="29"/>
      <c r="AW80" s="77"/>
      <c r="AX80" s="77"/>
      <c r="AY80" s="22"/>
      <c r="AZ80" s="29"/>
      <c r="BA80" s="77"/>
      <c r="BB80" s="29"/>
      <c r="BC80" s="77"/>
      <c r="BD80" s="22"/>
      <c r="BE80" s="29"/>
      <c r="BF80" s="77"/>
      <c r="BG80" s="22"/>
      <c r="BH80" s="29"/>
      <c r="BI80" s="77"/>
      <c r="BJ80" s="22"/>
      <c r="BK80" s="29"/>
      <c r="BL80" s="77"/>
      <c r="BM80" s="22"/>
      <c r="BN80" s="29"/>
      <c r="BO80" s="77"/>
      <c r="BP80" s="22"/>
      <c r="BQ80" s="29"/>
      <c r="BR80" s="77"/>
      <c r="BS80" s="29"/>
      <c r="BT80" s="77"/>
      <c r="BU80" s="77"/>
      <c r="BV80" s="77"/>
      <c r="BW80" s="29"/>
      <c r="BX80" s="22"/>
      <c r="BY80" s="22"/>
      <c r="BZ80" s="77"/>
      <c r="CA80" s="23"/>
      <c r="CB80" s="30"/>
      <c r="CC80" s="30"/>
      <c r="CD80" s="30"/>
      <c r="CE80" s="30"/>
      <c r="CF80" s="30"/>
      <c r="CG80" s="179" t="s">
        <v>50</v>
      </c>
      <c r="CH80" s="162"/>
      <c r="CI80" s="162" t="s">
        <v>20</v>
      </c>
      <c r="CJ80" s="162"/>
      <c r="CK80" s="186"/>
      <c r="CL80" s="162"/>
      <c r="CM80" s="162"/>
      <c r="CN80" s="162"/>
      <c r="CO80" s="162"/>
      <c r="CP80" s="162"/>
      <c r="CQ80" s="17"/>
      <c r="EG80" s="292"/>
      <c r="EH80" s="292"/>
      <c r="EI80" s="292"/>
      <c r="EJ80" s="292"/>
      <c r="EK80" s="292"/>
      <c r="EL80" s="292"/>
      <c r="EM80" s="292"/>
      <c r="EN80" s="292"/>
      <c r="EO80" s="292"/>
      <c r="EP80" s="292"/>
      <c r="EQ80" s="292"/>
      <c r="ER80" s="292"/>
      <c r="ES80" s="292"/>
      <c r="ET80" s="292"/>
      <c r="EU80" s="292"/>
      <c r="EV80" s="292"/>
      <c r="EW80" s="292"/>
      <c r="EX80" s="292"/>
      <c r="FA80" s="292"/>
      <c r="FB80" s="292"/>
      <c r="FC80" s="292"/>
      <c r="FD80" s="292"/>
      <c r="FE80" s="292"/>
      <c r="FF80" s="292"/>
      <c r="FG80" s="292"/>
      <c r="FH80" s="292"/>
      <c r="FI80" s="292"/>
      <c r="FJ80" s="292"/>
      <c r="FK80" s="292"/>
      <c r="FL80" s="292"/>
      <c r="FM80" s="292"/>
      <c r="FN80" s="292"/>
      <c r="FO80" s="292"/>
      <c r="FP80" s="292"/>
      <c r="FQ80" s="292"/>
      <c r="FR80" s="292"/>
      <c r="FS80" s="292"/>
      <c r="FT80" s="292"/>
      <c r="FU80" s="292"/>
      <c r="FV80" s="292"/>
      <c r="FW80" s="292"/>
      <c r="FX80" s="292"/>
      <c r="FY80" s="292"/>
      <c r="FZ80" s="292"/>
      <c r="GA80" s="292"/>
      <c r="GB80" s="292"/>
      <c r="GC80" s="292"/>
      <c r="GD80" s="292"/>
      <c r="GE80" s="292"/>
      <c r="GF80" s="292"/>
      <c r="GG80" s="292"/>
      <c r="GH80" s="292"/>
      <c r="GI80" s="292"/>
      <c r="GJ80" s="292"/>
      <c r="GK80" s="292"/>
      <c r="GL80" s="292"/>
      <c r="GM80" s="292"/>
      <c r="GN80" s="292"/>
      <c r="GO80" s="292"/>
      <c r="GP80" s="292"/>
      <c r="GQ80" s="292"/>
      <c r="GR80" s="292"/>
      <c r="GS80" s="292"/>
      <c r="GT80" s="292"/>
      <c r="GU80" s="292"/>
      <c r="GV80" s="292"/>
      <c r="GW80" s="292"/>
      <c r="GX80" s="292"/>
      <c r="GY80" s="292"/>
      <c r="GZ80" s="292"/>
      <c r="HA80" s="292"/>
      <c r="HB80" s="292"/>
      <c r="HC80" s="292"/>
      <c r="HD80" s="292"/>
      <c r="HE80" s="292"/>
      <c r="HF80" s="292"/>
      <c r="HG80" s="292"/>
      <c r="HH80" s="292"/>
      <c r="HI80" s="292"/>
      <c r="HJ80" s="292"/>
      <c r="HK80" s="292"/>
      <c r="HL80" s="292"/>
      <c r="HM80" s="292"/>
      <c r="HN80" s="292"/>
      <c r="HO80" s="292"/>
      <c r="HP80" s="292"/>
      <c r="HQ80" s="292"/>
      <c r="HR80" s="292"/>
      <c r="HS80" s="292"/>
      <c r="HT80" s="292"/>
      <c r="HU80" s="292"/>
      <c r="HV80" s="292"/>
      <c r="HW80" s="292"/>
      <c r="HX80" s="292"/>
      <c r="HY80" s="292"/>
      <c r="HZ80" s="292"/>
      <c r="IA80" s="292"/>
      <c r="IB80" s="292"/>
      <c r="IC80" s="292"/>
      <c r="ID80" s="292"/>
      <c r="IE80" s="292"/>
      <c r="IF80" s="292"/>
      <c r="IG80" s="292"/>
      <c r="IH80" s="292"/>
      <c r="II80" s="292"/>
      <c r="IJ80" s="292"/>
      <c r="IK80" s="292"/>
      <c r="IL80" s="292"/>
      <c r="IM80" s="292"/>
      <c r="IN80" s="292"/>
      <c r="IO80" s="292"/>
      <c r="IP80" s="292"/>
      <c r="IQ80" s="292"/>
      <c r="IR80" s="292"/>
      <c r="IS80" s="292"/>
      <c r="IT80" s="292"/>
      <c r="IU80" s="292"/>
      <c r="IV80" s="292"/>
      <c r="IW80" s="292"/>
      <c r="IX80" s="292"/>
      <c r="IY80" s="292"/>
      <c r="IZ80" s="292"/>
      <c r="JA80" s="292"/>
      <c r="JB80" s="292"/>
      <c r="JC80" s="292"/>
      <c r="JD80" s="292"/>
      <c r="JE80" s="292"/>
      <c r="JF80" s="292"/>
      <c r="JG80" s="292"/>
      <c r="JH80" s="292"/>
      <c r="JI80" s="292"/>
      <c r="JJ80" s="292"/>
      <c r="JK80" s="292"/>
      <c r="JL80" s="292"/>
      <c r="JM80" s="292"/>
      <c r="JN80" s="292"/>
      <c r="JO80" s="292"/>
      <c r="JP80" s="292"/>
      <c r="JQ80" s="292"/>
      <c r="JR80" s="292"/>
      <c r="JS80" s="292"/>
      <c r="JT80" s="292"/>
      <c r="JU80" s="292"/>
      <c r="JV80" s="292"/>
      <c r="JW80" s="292"/>
      <c r="JX80" s="292"/>
      <c r="JY80" s="292"/>
      <c r="JZ80" s="292"/>
      <c r="KA80" s="292"/>
      <c r="KB80" s="292"/>
      <c r="KC80" s="292"/>
      <c r="KD80" s="292"/>
      <c r="KE80" s="292"/>
      <c r="KF80" s="292"/>
      <c r="KG80" s="292"/>
      <c r="KH80" s="292"/>
      <c r="KI80" s="292"/>
      <c r="KJ80" s="292"/>
      <c r="KK80" s="292"/>
      <c r="KL80" s="292"/>
      <c r="KM80" s="292"/>
      <c r="KN80" s="292"/>
      <c r="KO80" s="292"/>
      <c r="KP80" s="292"/>
      <c r="KQ80" s="292"/>
      <c r="KR80" s="292"/>
      <c r="KS80" s="292"/>
      <c r="KT80" s="292"/>
      <c r="KU80" s="292"/>
      <c r="KV80" s="292"/>
      <c r="KW80" s="292"/>
      <c r="KX80" s="292"/>
      <c r="KY80" s="292"/>
      <c r="KZ80" s="292"/>
      <c r="LA80" s="292"/>
      <c r="LB80" s="292"/>
      <c r="LC80" s="292"/>
      <c r="LD80" s="292"/>
      <c r="LE80" s="292"/>
      <c r="LF80" s="292"/>
      <c r="LG80" s="292"/>
      <c r="LH80" s="292"/>
      <c r="LI80" s="292"/>
      <c r="LJ80" s="292"/>
      <c r="LK80" s="292"/>
      <c r="LL80" s="292"/>
      <c r="LM80" s="292"/>
      <c r="LN80" s="292"/>
      <c r="LO80" s="292"/>
      <c r="LP80" s="292"/>
      <c r="LQ80" s="292"/>
      <c r="LR80" s="292"/>
      <c r="LS80" s="292"/>
      <c r="LT80" s="292"/>
      <c r="LU80" s="292"/>
      <c r="LV80" s="292"/>
      <c r="LW80" s="292"/>
      <c r="LX80" s="292"/>
      <c r="LY80" s="292"/>
      <c r="LZ80" s="292"/>
      <c r="MA80" s="292"/>
      <c r="MB80" s="292"/>
      <c r="MC80" s="292"/>
      <c r="MD80" s="292"/>
      <c r="ME80" s="292"/>
      <c r="MF80" s="292"/>
      <c r="MG80" s="292"/>
      <c r="MH80" s="292"/>
      <c r="MI80" s="292"/>
      <c r="MJ80" s="292"/>
      <c r="MK80" s="292"/>
      <c r="ML80" s="292"/>
      <c r="MM80" s="292"/>
      <c r="MN80" s="292"/>
      <c r="MO80" s="292"/>
      <c r="MP80" s="292"/>
      <c r="MQ80" s="292"/>
      <c r="MR80" s="292"/>
      <c r="MS80" s="292"/>
      <c r="MT80" s="292"/>
      <c r="MU80" s="292"/>
      <c r="MV80" s="292"/>
      <c r="MW80" s="292"/>
      <c r="MX80" s="292"/>
      <c r="MY80" s="292"/>
      <c r="MZ80" s="292"/>
      <c r="NA80" s="292"/>
      <c r="NB80" s="292"/>
      <c r="NC80" s="292"/>
      <c r="ND80" s="292"/>
      <c r="NE80" s="292"/>
      <c r="NF80" s="292"/>
      <c r="NG80" s="292"/>
      <c r="NH80" s="292"/>
      <c r="NI80" s="292"/>
      <c r="NJ80" s="292"/>
      <c r="NK80" s="292"/>
      <c r="NL80" s="292"/>
      <c r="NM80" s="292"/>
      <c r="NN80" s="292"/>
      <c r="NO80" s="292"/>
      <c r="NP80" s="292"/>
      <c r="NQ80" s="292"/>
      <c r="NR80" s="292"/>
      <c r="NS80" s="292"/>
      <c r="NT80" s="292"/>
      <c r="NU80" s="292"/>
      <c r="NV80" s="292"/>
      <c r="NW80" s="292"/>
      <c r="NX80" s="292"/>
      <c r="NY80" s="568"/>
      <c r="NZ80" s="568"/>
      <c r="OA80" s="575"/>
      <c r="OB80" s="575"/>
      <c r="OC80" s="578"/>
      <c r="OD80" s="578"/>
    </row>
    <row r="81" spans="1:394" s="20" customFormat="1" ht="10.5" customHeight="1">
      <c r="D81" s="17"/>
      <c r="E81" s="88"/>
      <c r="F81" s="17"/>
      <c r="L81" s="17"/>
      <c r="P81" s="166"/>
      <c r="Q81" s="163"/>
      <c r="R81" s="165"/>
      <c r="S81" s="166"/>
      <c r="T81" s="166"/>
      <c r="U81" s="165"/>
      <c r="V81" s="165"/>
      <c r="W81" s="163"/>
      <c r="X81" s="165"/>
      <c r="Y81" s="166"/>
      <c r="Z81" s="165"/>
      <c r="AA81" s="166"/>
      <c r="AB81" s="166"/>
      <c r="AC81" s="166"/>
      <c r="AD81" s="17"/>
      <c r="AE81" s="13"/>
      <c r="AF81" s="29"/>
      <c r="AG81" s="17"/>
      <c r="AH81" s="29"/>
      <c r="AI81" s="29"/>
      <c r="AJ81" s="17"/>
      <c r="AL81" s="29"/>
      <c r="AM81" s="78"/>
      <c r="AO81" s="78"/>
      <c r="AS81" s="29"/>
      <c r="AT81" s="78"/>
      <c r="AU81" s="78"/>
      <c r="AV81" s="29"/>
      <c r="AW81" s="78"/>
      <c r="AX81" s="78"/>
      <c r="AY81" s="22"/>
      <c r="AZ81" s="29"/>
      <c r="BA81" s="78"/>
      <c r="BB81" s="29"/>
      <c r="BC81" s="78"/>
      <c r="BD81" s="22"/>
      <c r="BE81" s="29"/>
      <c r="BF81" s="78"/>
      <c r="BG81" s="22"/>
      <c r="BH81" s="29"/>
      <c r="BI81" s="78"/>
      <c r="BJ81" s="22"/>
      <c r="BK81" s="29"/>
      <c r="BL81" s="78"/>
      <c r="BM81" s="22"/>
      <c r="BN81" s="29"/>
      <c r="BO81" s="78"/>
      <c r="BP81" s="22"/>
      <c r="BQ81" s="29"/>
      <c r="BR81" s="78"/>
      <c r="BS81" s="29"/>
      <c r="BT81" s="78"/>
      <c r="BU81" s="78"/>
      <c r="BV81" s="78"/>
      <c r="BW81" s="29"/>
      <c r="BX81" s="22"/>
      <c r="BY81" s="22"/>
      <c r="BZ81" s="78"/>
      <c r="CA81" s="29"/>
      <c r="CB81" s="395"/>
      <c r="CC81" s="30"/>
      <c r="CD81" s="30"/>
      <c r="CE81" s="30"/>
      <c r="CF81" s="30"/>
      <c r="CG81" s="45"/>
      <c r="CH81" s="79"/>
      <c r="CI81" s="24"/>
      <c r="CJ81" s="24"/>
      <c r="CK81" s="187"/>
      <c r="CL81" s="17"/>
      <c r="CM81" s="36"/>
      <c r="CN81" s="188"/>
      <c r="CO81" s="17"/>
      <c r="CP81" s="17"/>
      <c r="CQ81" s="17"/>
      <c r="EG81" s="292"/>
      <c r="EH81" s="292"/>
      <c r="EI81" s="292"/>
      <c r="EJ81" s="292"/>
      <c r="EK81" s="292"/>
      <c r="EL81" s="292"/>
      <c r="EM81" s="292"/>
      <c r="EN81" s="292"/>
      <c r="EO81" s="292"/>
      <c r="EP81" s="292"/>
      <c r="EQ81" s="292"/>
      <c r="ER81" s="292"/>
      <c r="ES81" s="292"/>
      <c r="ET81" s="292"/>
      <c r="EU81" s="292"/>
      <c r="EV81" s="292"/>
      <c r="EW81" s="292"/>
      <c r="EX81" s="292"/>
      <c r="FA81" s="292"/>
      <c r="FB81" s="292"/>
      <c r="FC81" s="292"/>
      <c r="FD81" s="292"/>
      <c r="FE81" s="292"/>
      <c r="FF81" s="292"/>
      <c r="FG81" s="292"/>
      <c r="FH81" s="292"/>
      <c r="FI81" s="292"/>
      <c r="FJ81" s="292"/>
      <c r="FK81" s="292"/>
      <c r="FL81" s="292"/>
      <c r="FM81" s="292"/>
      <c r="FN81" s="292"/>
      <c r="FO81" s="292"/>
      <c r="FP81" s="292"/>
      <c r="FQ81" s="292"/>
      <c r="FR81" s="292"/>
      <c r="FS81" s="292"/>
      <c r="FT81" s="292"/>
      <c r="FU81" s="292"/>
      <c r="FV81" s="292"/>
      <c r="FW81" s="292"/>
      <c r="FX81" s="292"/>
      <c r="FY81" s="292"/>
      <c r="FZ81" s="292"/>
      <c r="GA81" s="292"/>
      <c r="GB81" s="292"/>
      <c r="GC81" s="292"/>
      <c r="GD81" s="292"/>
      <c r="GE81" s="292"/>
      <c r="GF81" s="292"/>
      <c r="GG81" s="292"/>
      <c r="GH81" s="292"/>
      <c r="GI81" s="292"/>
      <c r="GJ81" s="292"/>
      <c r="GK81" s="292"/>
      <c r="GL81" s="292"/>
      <c r="GM81" s="292"/>
      <c r="GN81" s="292"/>
      <c r="GO81" s="292"/>
      <c r="GP81" s="292"/>
      <c r="GQ81" s="292"/>
      <c r="GR81" s="292"/>
      <c r="GS81" s="292"/>
      <c r="GT81" s="292"/>
      <c r="GU81" s="292"/>
      <c r="GV81" s="292"/>
      <c r="GW81" s="292"/>
      <c r="GX81" s="292"/>
      <c r="GY81" s="292"/>
      <c r="GZ81" s="292"/>
      <c r="HA81" s="292"/>
      <c r="HB81" s="292"/>
      <c r="HC81" s="292"/>
      <c r="HD81" s="292"/>
      <c r="HE81" s="292"/>
      <c r="HF81" s="292"/>
      <c r="HG81" s="292"/>
      <c r="HH81" s="292"/>
      <c r="HI81" s="292"/>
      <c r="HJ81" s="292"/>
      <c r="HK81" s="292"/>
      <c r="HL81" s="292"/>
      <c r="HM81" s="292"/>
      <c r="HN81" s="292"/>
      <c r="HO81" s="292"/>
      <c r="HP81" s="292"/>
      <c r="HQ81" s="292"/>
      <c r="HR81" s="292"/>
      <c r="HS81" s="292"/>
      <c r="HT81" s="292"/>
      <c r="HU81" s="292"/>
      <c r="HV81" s="292"/>
      <c r="HW81" s="292"/>
      <c r="HX81" s="292"/>
      <c r="HY81" s="292"/>
      <c r="HZ81" s="292"/>
      <c r="IA81" s="292"/>
      <c r="IB81" s="292"/>
      <c r="IC81" s="292"/>
      <c r="ID81" s="292"/>
      <c r="IE81" s="292"/>
      <c r="IF81" s="292"/>
      <c r="IG81" s="292"/>
      <c r="IH81" s="292"/>
      <c r="II81" s="292"/>
      <c r="IJ81" s="292"/>
      <c r="IK81" s="292"/>
      <c r="IL81" s="292"/>
      <c r="IM81" s="292"/>
      <c r="IN81" s="292"/>
      <c r="IO81" s="292"/>
      <c r="IP81" s="292"/>
      <c r="IQ81" s="292"/>
      <c r="IR81" s="292"/>
      <c r="IS81" s="292"/>
      <c r="IT81" s="292"/>
      <c r="IU81" s="292"/>
      <c r="IV81" s="292"/>
      <c r="IW81" s="292"/>
      <c r="IX81" s="292"/>
      <c r="IY81" s="292"/>
      <c r="IZ81" s="292"/>
      <c r="JA81" s="292"/>
      <c r="JB81" s="292"/>
      <c r="JC81" s="292"/>
      <c r="JD81" s="292"/>
      <c r="JE81" s="292"/>
      <c r="JF81" s="292"/>
      <c r="JG81" s="292"/>
      <c r="JH81" s="292"/>
      <c r="JI81" s="292"/>
      <c r="JJ81" s="292"/>
      <c r="JK81" s="292"/>
      <c r="JL81" s="292"/>
      <c r="JM81" s="292"/>
      <c r="JN81" s="292"/>
      <c r="JO81" s="292"/>
      <c r="JP81" s="292"/>
      <c r="JQ81" s="292"/>
      <c r="JR81" s="292"/>
      <c r="JS81" s="292"/>
      <c r="JT81" s="292"/>
      <c r="JU81" s="292"/>
      <c r="JV81" s="292"/>
      <c r="JW81" s="292"/>
      <c r="JX81" s="292"/>
      <c r="JY81" s="292"/>
      <c r="JZ81" s="292"/>
      <c r="KA81" s="292"/>
      <c r="KB81" s="292"/>
      <c r="KC81" s="292"/>
      <c r="KD81" s="292"/>
      <c r="KE81" s="292"/>
      <c r="KF81" s="292"/>
      <c r="KG81" s="292"/>
      <c r="KH81" s="292"/>
      <c r="KI81" s="292"/>
      <c r="KJ81" s="292"/>
      <c r="KK81" s="292"/>
      <c r="KL81" s="292"/>
      <c r="KM81" s="292"/>
      <c r="KN81" s="292"/>
      <c r="KO81" s="292"/>
      <c r="KP81" s="292"/>
      <c r="KQ81" s="292"/>
      <c r="KR81" s="292"/>
      <c r="KS81" s="292"/>
      <c r="KT81" s="292"/>
      <c r="KU81" s="292"/>
      <c r="KV81" s="292"/>
      <c r="KW81" s="292"/>
      <c r="KX81" s="292"/>
      <c r="KY81" s="292"/>
      <c r="KZ81" s="292"/>
      <c r="LA81" s="292"/>
      <c r="LB81" s="292"/>
      <c r="LC81" s="292"/>
      <c r="LD81" s="292"/>
      <c r="LE81" s="292"/>
      <c r="LF81" s="292"/>
      <c r="LG81" s="292"/>
      <c r="LH81" s="292"/>
      <c r="LI81" s="292"/>
      <c r="LJ81" s="292"/>
      <c r="LK81" s="292"/>
      <c r="LL81" s="292"/>
      <c r="LM81" s="292"/>
      <c r="LN81" s="292"/>
      <c r="LO81" s="292"/>
      <c r="LP81" s="292"/>
      <c r="LQ81" s="292"/>
      <c r="LR81" s="292"/>
      <c r="LS81" s="292"/>
      <c r="LT81" s="292"/>
      <c r="LU81" s="292"/>
      <c r="LV81" s="292"/>
      <c r="LW81" s="292"/>
      <c r="LX81" s="292"/>
      <c r="LY81" s="292"/>
      <c r="LZ81" s="292"/>
      <c r="MA81" s="292"/>
      <c r="MB81" s="292"/>
      <c r="MC81" s="292"/>
      <c r="MD81" s="292"/>
      <c r="ME81" s="292"/>
      <c r="MF81" s="292"/>
      <c r="MG81" s="292"/>
      <c r="MH81" s="292"/>
      <c r="MI81" s="292"/>
      <c r="MJ81" s="292"/>
      <c r="MK81" s="292"/>
      <c r="ML81" s="292"/>
      <c r="MM81" s="292"/>
      <c r="MN81" s="292"/>
      <c r="MO81" s="292"/>
      <c r="MP81" s="292"/>
      <c r="MQ81" s="292"/>
      <c r="MR81" s="292"/>
      <c r="MS81" s="292"/>
      <c r="MT81" s="292"/>
      <c r="MU81" s="292"/>
      <c r="MV81" s="292"/>
      <c r="MW81" s="292"/>
      <c r="MX81" s="292"/>
      <c r="MY81" s="292"/>
      <c r="MZ81" s="292"/>
      <c r="NA81" s="292"/>
      <c r="NB81" s="292"/>
      <c r="NC81" s="292"/>
      <c r="ND81" s="292"/>
      <c r="NE81" s="292"/>
      <c r="NF81" s="292"/>
      <c r="NG81" s="292"/>
      <c r="NH81" s="292"/>
      <c r="NI81" s="292"/>
      <c r="NJ81" s="292"/>
      <c r="NK81" s="292"/>
      <c r="NL81" s="292"/>
      <c r="NM81" s="292"/>
      <c r="NN81" s="292"/>
      <c r="NO81" s="292"/>
      <c r="NP81" s="292"/>
      <c r="NQ81" s="292"/>
      <c r="NR81" s="292"/>
      <c r="NS81" s="292"/>
      <c r="NT81" s="292"/>
      <c r="NU81" s="292"/>
      <c r="NV81" s="292"/>
      <c r="NW81" s="292"/>
      <c r="NX81" s="292"/>
      <c r="NY81" s="568"/>
      <c r="NZ81" s="568"/>
      <c r="OA81" s="575"/>
      <c r="OB81" s="575"/>
      <c r="OC81" s="578"/>
      <c r="OD81" s="578"/>
    </row>
    <row r="82" spans="1:394" s="20" customFormat="1" ht="10.5" customHeight="1">
      <c r="E82" s="88"/>
      <c r="F82" s="17"/>
      <c r="L82" s="17"/>
      <c r="P82" s="336" t="s">
        <v>69</v>
      </c>
      <c r="Q82" s="337"/>
      <c r="R82" s="338"/>
      <c r="S82" s="336"/>
      <c r="T82" s="336"/>
      <c r="U82" s="338"/>
      <c r="V82" s="338"/>
      <c r="W82" s="337"/>
      <c r="X82" s="338"/>
      <c r="Y82" s="336"/>
      <c r="Z82" s="338"/>
      <c r="AA82" s="336"/>
      <c r="AB82" s="336"/>
      <c r="AC82" s="336"/>
      <c r="AD82" s="17"/>
      <c r="AE82" s="13"/>
      <c r="AG82" s="17"/>
      <c r="AJ82" s="17"/>
      <c r="AK82" s="14"/>
      <c r="AM82" s="78"/>
      <c r="AO82" s="78"/>
      <c r="AT82" s="78"/>
      <c r="AU82" s="78"/>
      <c r="AW82" s="78"/>
      <c r="AX82" s="78"/>
      <c r="BA82" s="78"/>
      <c r="BC82" s="78"/>
      <c r="BF82" s="78"/>
      <c r="BI82" s="78"/>
      <c r="BL82" s="78"/>
      <c r="BO82" s="78"/>
      <c r="BR82" s="78"/>
      <c r="BT82" s="78"/>
      <c r="BU82" s="78"/>
      <c r="BV82" s="78"/>
      <c r="BZ82" s="78"/>
      <c r="CA82" s="23"/>
      <c r="CB82" s="30"/>
      <c r="CC82" s="30"/>
      <c r="CD82" s="30"/>
      <c r="CE82" s="30"/>
      <c r="CF82" s="30"/>
      <c r="CG82" s="30"/>
      <c r="CH82" s="30"/>
      <c r="CI82" s="30"/>
      <c r="CJ82" s="30"/>
      <c r="CK82" s="30"/>
      <c r="EG82" s="292"/>
      <c r="EH82" s="292"/>
      <c r="EI82" s="292"/>
      <c r="EJ82" s="292"/>
      <c r="EK82" s="292"/>
      <c r="EL82" s="292"/>
      <c r="EM82" s="292"/>
      <c r="EN82" s="292"/>
      <c r="EO82" s="292"/>
      <c r="EP82" s="292"/>
      <c r="EQ82" s="292"/>
      <c r="ER82" s="292"/>
      <c r="ES82" s="292"/>
      <c r="ET82" s="292"/>
      <c r="EU82" s="292"/>
      <c r="EV82" s="292"/>
      <c r="EW82" s="292"/>
      <c r="EX82" s="292"/>
      <c r="FA82" s="292"/>
      <c r="FB82" s="292"/>
      <c r="FC82" s="292"/>
      <c r="FD82" s="292"/>
      <c r="FE82" s="292"/>
      <c r="FF82" s="292"/>
      <c r="FG82" s="292"/>
      <c r="FH82" s="292"/>
      <c r="FI82" s="292"/>
      <c r="FJ82" s="292"/>
      <c r="FK82" s="292"/>
      <c r="FL82" s="292"/>
      <c r="FM82" s="292"/>
      <c r="FN82" s="292"/>
      <c r="FO82" s="292"/>
      <c r="FP82" s="292"/>
      <c r="FQ82" s="292"/>
      <c r="FR82" s="292"/>
      <c r="FS82" s="292"/>
      <c r="FT82" s="292"/>
      <c r="FU82" s="292"/>
      <c r="FV82" s="292"/>
      <c r="FW82" s="292"/>
      <c r="FX82" s="292"/>
      <c r="FY82" s="292"/>
      <c r="FZ82" s="292"/>
      <c r="GA82" s="292"/>
      <c r="GB82" s="292"/>
      <c r="GC82" s="292"/>
      <c r="GD82" s="292"/>
      <c r="GE82" s="292"/>
      <c r="GF82" s="292"/>
      <c r="GG82" s="292"/>
      <c r="GH82" s="292"/>
      <c r="GI82" s="292"/>
      <c r="GJ82" s="292"/>
      <c r="GK82" s="292"/>
      <c r="GL82" s="292"/>
      <c r="GM82" s="292"/>
      <c r="GN82" s="292"/>
      <c r="GO82" s="292"/>
      <c r="GP82" s="292"/>
      <c r="GQ82" s="292"/>
      <c r="GR82" s="292"/>
      <c r="GS82" s="292"/>
      <c r="GT82" s="292"/>
      <c r="GU82" s="292"/>
      <c r="GV82" s="292"/>
      <c r="GW82" s="292"/>
      <c r="GX82" s="292"/>
      <c r="GY82" s="292"/>
      <c r="GZ82" s="292"/>
      <c r="HA82" s="292"/>
      <c r="HB82" s="292"/>
      <c r="HC82" s="292"/>
      <c r="HD82" s="292"/>
      <c r="HE82" s="292"/>
      <c r="HF82" s="292"/>
      <c r="HG82" s="292"/>
      <c r="HH82" s="292"/>
      <c r="HI82" s="292"/>
      <c r="HJ82" s="292"/>
      <c r="HK82" s="292"/>
      <c r="HL82" s="292"/>
      <c r="HM82" s="292"/>
      <c r="HN82" s="292"/>
      <c r="HO82" s="292"/>
      <c r="HP82" s="292"/>
      <c r="HQ82" s="292"/>
      <c r="HR82" s="292"/>
      <c r="HS82" s="292"/>
      <c r="HT82" s="292"/>
      <c r="HU82" s="292"/>
      <c r="HV82" s="292"/>
      <c r="HW82" s="292"/>
      <c r="HX82" s="292"/>
      <c r="HY82" s="292"/>
      <c r="HZ82" s="292"/>
      <c r="IA82" s="292"/>
      <c r="IB82" s="292"/>
      <c r="IC82" s="292"/>
      <c r="ID82" s="292"/>
      <c r="IE82" s="292"/>
      <c r="IF82" s="292"/>
      <c r="IG82" s="292"/>
      <c r="IH82" s="292"/>
      <c r="II82" s="292"/>
      <c r="IJ82" s="292"/>
      <c r="IK82" s="292"/>
      <c r="IL82" s="292"/>
      <c r="IM82" s="292"/>
      <c r="IN82" s="292"/>
      <c r="IO82" s="292"/>
      <c r="IP82" s="292"/>
      <c r="IQ82" s="292"/>
      <c r="IR82" s="292"/>
      <c r="IS82" s="292"/>
      <c r="IT82" s="292"/>
      <c r="IU82" s="292"/>
      <c r="IV82" s="292"/>
      <c r="IW82" s="292"/>
      <c r="IX82" s="292"/>
      <c r="IY82" s="292"/>
      <c r="IZ82" s="292"/>
      <c r="JA82" s="292"/>
      <c r="JB82" s="292"/>
      <c r="JC82" s="292"/>
      <c r="JD82" s="292"/>
      <c r="JE82" s="292"/>
      <c r="JF82" s="292"/>
      <c r="JG82" s="292"/>
      <c r="JH82" s="292"/>
      <c r="JI82" s="292"/>
      <c r="JJ82" s="292"/>
      <c r="JK82" s="292"/>
      <c r="JL82" s="292"/>
      <c r="JM82" s="292"/>
      <c r="JN82" s="292"/>
      <c r="JO82" s="292"/>
      <c r="JP82" s="292"/>
      <c r="JQ82" s="292"/>
      <c r="JR82" s="292"/>
      <c r="JS82" s="292"/>
      <c r="JT82" s="292"/>
      <c r="JU82" s="292"/>
      <c r="JV82" s="292"/>
      <c r="JW82" s="292"/>
      <c r="JX82" s="292"/>
      <c r="JY82" s="292"/>
      <c r="JZ82" s="292"/>
      <c r="KA82" s="292"/>
      <c r="KB82" s="292"/>
      <c r="KC82" s="292"/>
      <c r="KD82" s="292"/>
      <c r="KE82" s="292"/>
      <c r="KF82" s="292"/>
      <c r="KG82" s="292"/>
      <c r="KH82" s="292"/>
      <c r="KI82" s="292"/>
      <c r="KJ82" s="292"/>
      <c r="KK82" s="292"/>
      <c r="KL82" s="292"/>
      <c r="KM82" s="292"/>
      <c r="KN82" s="292"/>
      <c r="KO82" s="292"/>
      <c r="KP82" s="292"/>
      <c r="KQ82" s="292"/>
      <c r="KR82" s="292"/>
      <c r="KS82" s="292"/>
      <c r="KT82" s="292"/>
      <c r="KU82" s="292"/>
      <c r="KV82" s="292"/>
      <c r="KW82" s="292"/>
      <c r="KX82" s="292"/>
      <c r="KY82" s="292"/>
      <c r="KZ82" s="292"/>
      <c r="LA82" s="292"/>
      <c r="LB82" s="292"/>
      <c r="LC82" s="292"/>
      <c r="LD82" s="292"/>
      <c r="LE82" s="292"/>
      <c r="LF82" s="292"/>
      <c r="LG82" s="292"/>
      <c r="LH82" s="292"/>
      <c r="LI82" s="292"/>
      <c r="LJ82" s="292"/>
      <c r="LK82" s="292"/>
      <c r="LL82" s="292"/>
      <c r="LM82" s="292"/>
      <c r="LN82" s="292"/>
      <c r="LO82" s="292"/>
      <c r="LP82" s="292"/>
      <c r="LQ82" s="292"/>
      <c r="LR82" s="292"/>
      <c r="LS82" s="292"/>
      <c r="LT82" s="292"/>
      <c r="LU82" s="292"/>
      <c r="LV82" s="292"/>
      <c r="LW82" s="292"/>
      <c r="LX82" s="292"/>
      <c r="LY82" s="292"/>
      <c r="LZ82" s="292"/>
      <c r="MA82" s="292"/>
      <c r="MB82" s="292"/>
      <c r="MC82" s="292"/>
      <c r="MD82" s="292"/>
      <c r="ME82" s="292"/>
      <c r="MF82" s="292"/>
      <c r="MG82" s="292"/>
      <c r="MH82" s="292"/>
      <c r="MI82" s="292"/>
      <c r="MJ82" s="292"/>
      <c r="MK82" s="292"/>
      <c r="ML82" s="292"/>
      <c r="MM82" s="292"/>
      <c r="MN82" s="292"/>
      <c r="MO82" s="292"/>
      <c r="MP82" s="292"/>
      <c r="MQ82" s="292"/>
      <c r="MR82" s="292"/>
      <c r="MS82" s="292"/>
      <c r="MT82" s="292"/>
      <c r="MU82" s="292"/>
      <c r="MV82" s="292"/>
      <c r="MW82" s="292"/>
      <c r="MX82" s="292"/>
      <c r="MY82" s="292"/>
      <c r="MZ82" s="292"/>
      <c r="NA82" s="292"/>
      <c r="NB82" s="292"/>
      <c r="NC82" s="292"/>
      <c r="ND82" s="292"/>
      <c r="NE82" s="292"/>
      <c r="NF82" s="292"/>
      <c r="NG82" s="292"/>
      <c r="NH82" s="292"/>
      <c r="NI82" s="292"/>
      <c r="NJ82" s="292"/>
      <c r="NK82" s="292"/>
      <c r="NL82" s="292"/>
      <c r="NM82" s="292"/>
      <c r="NN82" s="292"/>
      <c r="NO82" s="292"/>
      <c r="NP82" s="292"/>
      <c r="NQ82" s="292"/>
      <c r="NR82" s="292"/>
      <c r="NS82" s="292"/>
      <c r="NT82" s="292"/>
      <c r="NU82" s="292"/>
      <c r="NV82" s="292"/>
      <c r="NW82" s="292"/>
      <c r="NX82" s="292"/>
      <c r="NY82" s="568"/>
      <c r="NZ82" s="568"/>
      <c r="OA82" s="575"/>
      <c r="OB82" s="575"/>
      <c r="OC82" s="578"/>
      <c r="OD82" s="578"/>
    </row>
    <row r="83" spans="1:394" s="20" customFormat="1" ht="10.5" customHeight="1" thickBot="1">
      <c r="A83" s="12"/>
      <c r="B83" s="12"/>
      <c r="C83" s="12"/>
      <c r="L83" s="17"/>
      <c r="P83" s="13"/>
      <c r="Q83" s="14"/>
      <c r="AE83" s="17"/>
      <c r="AF83" s="29"/>
      <c r="AH83" s="29"/>
      <c r="AI83" s="29"/>
      <c r="AK83" s="23"/>
      <c r="AM83" s="78"/>
      <c r="AO83" s="78"/>
      <c r="AT83" s="78"/>
      <c r="AU83" s="78"/>
      <c r="AW83" s="78"/>
      <c r="AX83" s="78"/>
      <c r="BA83" s="78"/>
      <c r="BC83" s="78"/>
      <c r="BF83" s="78"/>
      <c r="BI83" s="78"/>
      <c r="BL83" s="78"/>
      <c r="BO83" s="78"/>
      <c r="BR83" s="78"/>
      <c r="BT83" s="78"/>
      <c r="BU83" s="78"/>
      <c r="BV83" s="78"/>
      <c r="BZ83" s="78"/>
      <c r="CA83" s="23"/>
      <c r="CB83" s="30"/>
      <c r="CC83" s="30"/>
      <c r="CD83" s="30"/>
      <c r="CE83" s="30"/>
      <c r="CF83" s="30"/>
      <c r="CG83" s="30"/>
      <c r="CH83" s="30"/>
      <c r="CI83" s="30"/>
      <c r="CJ83" s="30"/>
      <c r="CK83" s="30"/>
      <c r="EG83" s="292"/>
      <c r="EH83" s="292"/>
      <c r="EI83" s="292"/>
      <c r="EJ83" s="292"/>
      <c r="EK83" s="292"/>
      <c r="EL83" s="292"/>
      <c r="EM83" s="292"/>
      <c r="EN83" s="292"/>
      <c r="EO83" s="292"/>
      <c r="EP83" s="292"/>
      <c r="EQ83" s="292"/>
      <c r="ER83" s="292"/>
      <c r="ES83" s="292"/>
      <c r="ET83" s="292"/>
      <c r="EU83" s="292"/>
      <c r="EV83" s="292"/>
      <c r="EW83" s="292"/>
      <c r="EX83" s="292"/>
      <c r="FA83" s="292"/>
      <c r="FB83" s="292"/>
      <c r="FC83" s="292"/>
      <c r="FD83" s="292"/>
      <c r="FE83" s="292"/>
      <c r="FF83" s="292"/>
      <c r="FG83" s="292"/>
      <c r="FH83" s="292"/>
      <c r="FI83" s="292"/>
      <c r="FJ83" s="292"/>
      <c r="FK83" s="292"/>
      <c r="FL83" s="292"/>
      <c r="FM83" s="292"/>
      <c r="FN83" s="292"/>
      <c r="FO83" s="292"/>
      <c r="FP83" s="292"/>
      <c r="FQ83" s="292"/>
      <c r="FR83" s="292"/>
      <c r="FS83" s="292"/>
      <c r="FT83" s="292"/>
      <c r="FU83" s="292"/>
      <c r="FV83" s="292"/>
      <c r="FW83" s="292"/>
      <c r="FX83" s="292"/>
      <c r="FY83" s="292"/>
      <c r="FZ83" s="292"/>
      <c r="GA83" s="292"/>
      <c r="GB83" s="292"/>
      <c r="GC83" s="292"/>
      <c r="GD83" s="292"/>
      <c r="GE83" s="292"/>
      <c r="GF83" s="292"/>
      <c r="GG83" s="292"/>
      <c r="GH83" s="292"/>
      <c r="GI83" s="292"/>
      <c r="GJ83" s="292"/>
      <c r="GK83" s="292"/>
      <c r="GL83" s="292"/>
      <c r="GM83" s="292"/>
      <c r="GN83" s="292"/>
      <c r="GO83" s="292"/>
      <c r="GP83" s="292"/>
      <c r="GQ83" s="292"/>
      <c r="GR83" s="292"/>
      <c r="GS83" s="292"/>
      <c r="GT83" s="292"/>
      <c r="GU83" s="292"/>
      <c r="GV83" s="292"/>
      <c r="GW83" s="292"/>
      <c r="GX83" s="292"/>
      <c r="GY83" s="292"/>
      <c r="GZ83" s="292"/>
      <c r="HA83" s="292"/>
      <c r="HB83" s="292"/>
      <c r="HC83" s="292"/>
      <c r="HD83" s="292"/>
      <c r="HE83" s="292"/>
      <c r="HF83" s="292"/>
      <c r="HG83" s="292"/>
      <c r="HH83" s="292"/>
      <c r="HI83" s="292"/>
      <c r="HJ83" s="292"/>
      <c r="HK83" s="292"/>
      <c r="HL83" s="292"/>
      <c r="HM83" s="292"/>
      <c r="HN83" s="292"/>
      <c r="HO83" s="292"/>
      <c r="HP83" s="292"/>
      <c r="HQ83" s="292"/>
      <c r="HR83" s="292"/>
      <c r="HS83" s="292"/>
      <c r="HT83" s="292"/>
      <c r="HU83" s="292"/>
      <c r="HV83" s="292"/>
      <c r="HW83" s="292"/>
      <c r="HX83" s="292"/>
      <c r="HY83" s="292"/>
      <c r="HZ83" s="292"/>
      <c r="IA83" s="292"/>
      <c r="IB83" s="292"/>
      <c r="IC83" s="292"/>
      <c r="ID83" s="292"/>
      <c r="IE83" s="292"/>
      <c r="IF83" s="292"/>
      <c r="IG83" s="292"/>
      <c r="IH83" s="292"/>
      <c r="II83" s="292"/>
      <c r="IJ83" s="292"/>
      <c r="IK83" s="292"/>
      <c r="IL83" s="292"/>
      <c r="IM83" s="292"/>
      <c r="IN83" s="292"/>
      <c r="IO83" s="292"/>
      <c r="IP83" s="292"/>
      <c r="IQ83" s="292"/>
      <c r="IR83" s="292"/>
      <c r="IS83" s="292"/>
      <c r="IT83" s="292"/>
      <c r="IU83" s="292"/>
      <c r="IV83" s="292"/>
      <c r="IW83" s="292"/>
      <c r="IX83" s="292"/>
      <c r="IY83" s="292"/>
      <c r="IZ83" s="292"/>
      <c r="JA83" s="292"/>
      <c r="JB83" s="292"/>
      <c r="JC83" s="292"/>
      <c r="JD83" s="292"/>
      <c r="JE83" s="292"/>
      <c r="JF83" s="292"/>
      <c r="JG83" s="292"/>
      <c r="JH83" s="292"/>
      <c r="JI83" s="292"/>
      <c r="JJ83" s="292"/>
      <c r="JK83" s="292"/>
      <c r="JL83" s="292"/>
      <c r="JM83" s="292"/>
      <c r="JN83" s="292"/>
      <c r="JO83" s="292"/>
      <c r="JP83" s="292"/>
      <c r="JQ83" s="292"/>
      <c r="JR83" s="292"/>
      <c r="JS83" s="292"/>
      <c r="JT83" s="292"/>
      <c r="JU83" s="292"/>
      <c r="JV83" s="292"/>
      <c r="JW83" s="292"/>
      <c r="JX83" s="292"/>
      <c r="JY83" s="292"/>
      <c r="JZ83" s="292"/>
      <c r="KA83" s="292"/>
      <c r="KB83" s="292"/>
      <c r="KC83" s="292"/>
      <c r="KD83" s="292"/>
      <c r="KE83" s="292"/>
      <c r="KF83" s="292"/>
      <c r="KG83" s="292"/>
      <c r="KH83" s="292"/>
      <c r="KI83" s="292"/>
      <c r="KJ83" s="292"/>
      <c r="KK83" s="292"/>
      <c r="KL83" s="292"/>
      <c r="KM83" s="292"/>
      <c r="KN83" s="292"/>
      <c r="KO83" s="292"/>
      <c r="KP83" s="292"/>
      <c r="KQ83" s="292"/>
      <c r="KR83" s="292"/>
      <c r="KS83" s="292"/>
      <c r="KT83" s="292"/>
      <c r="KU83" s="292"/>
      <c r="KV83" s="292"/>
      <c r="KW83" s="292"/>
      <c r="KX83" s="292"/>
      <c r="KY83" s="292"/>
      <c r="KZ83" s="292"/>
      <c r="LA83" s="292"/>
      <c r="LB83" s="292"/>
      <c r="LC83" s="292"/>
      <c r="LD83" s="292"/>
      <c r="LE83" s="292"/>
      <c r="LF83" s="292"/>
      <c r="LG83" s="292"/>
      <c r="LH83" s="292"/>
      <c r="LI83" s="292"/>
      <c r="LJ83" s="292"/>
      <c r="LK83" s="292"/>
      <c r="LL83" s="292"/>
      <c r="LM83" s="292"/>
      <c r="LN83" s="292"/>
      <c r="LO83" s="292"/>
      <c r="LP83" s="292"/>
      <c r="LQ83" s="292"/>
      <c r="LR83" s="292"/>
      <c r="LS83" s="292"/>
      <c r="LT83" s="292"/>
      <c r="LU83" s="292"/>
      <c r="LV83" s="292"/>
      <c r="LW83" s="292"/>
      <c r="LX83" s="292"/>
      <c r="LY83" s="292"/>
      <c r="LZ83" s="292"/>
      <c r="MA83" s="292"/>
      <c r="MB83" s="292"/>
      <c r="MC83" s="292"/>
      <c r="MD83" s="292"/>
      <c r="ME83" s="292"/>
      <c r="MF83" s="292"/>
      <c r="MG83" s="292"/>
      <c r="MH83" s="292"/>
      <c r="MI83" s="292"/>
      <c r="MJ83" s="292"/>
      <c r="MK83" s="292"/>
      <c r="ML83" s="292"/>
      <c r="MM83" s="292"/>
      <c r="MN83" s="292"/>
      <c r="MO83" s="292"/>
      <c r="MP83" s="292"/>
      <c r="MQ83" s="292"/>
      <c r="MR83" s="292"/>
      <c r="MS83" s="292"/>
      <c r="MT83" s="292"/>
      <c r="MU83" s="292"/>
      <c r="MV83" s="292"/>
      <c r="MW83" s="292"/>
      <c r="MX83" s="292"/>
      <c r="MY83" s="292"/>
      <c r="MZ83" s="292"/>
      <c r="NA83" s="292"/>
      <c r="NB83" s="292"/>
      <c r="NC83" s="292"/>
      <c r="ND83" s="292"/>
      <c r="NE83" s="292"/>
      <c r="NF83" s="292"/>
      <c r="NG83" s="292"/>
      <c r="NH83" s="292"/>
      <c r="NI83" s="292"/>
      <c r="NJ83" s="292"/>
      <c r="NK83" s="292"/>
      <c r="NL83" s="292"/>
      <c r="NM83" s="292"/>
      <c r="NN83" s="292"/>
      <c r="NO83" s="292"/>
      <c r="NP83" s="292"/>
      <c r="NQ83" s="292"/>
      <c r="NR83" s="292"/>
      <c r="NS83" s="292"/>
      <c r="NT83" s="292"/>
      <c r="NU83" s="292"/>
      <c r="NV83" s="292"/>
      <c r="NW83" s="292"/>
      <c r="NX83" s="292"/>
      <c r="NY83" s="568"/>
      <c r="NZ83" s="568"/>
      <c r="OA83" s="575"/>
      <c r="OB83" s="575"/>
      <c r="OC83" s="578"/>
      <c r="OD83" s="578"/>
    </row>
    <row r="84" spans="1:394" s="20" customFormat="1" ht="10.5" customHeight="1">
      <c r="A84" s="12"/>
      <c r="B84" s="12"/>
      <c r="C84" s="12"/>
      <c r="L84" s="17"/>
      <c r="P84" s="98" t="s">
        <v>63</v>
      </c>
      <c r="Q84" s="14"/>
      <c r="R84" s="17"/>
      <c r="T84" s="14"/>
      <c r="U84" s="17"/>
      <c r="W84" s="14"/>
      <c r="AE84" s="632" t="s">
        <v>188</v>
      </c>
      <c r="AF84" s="633"/>
      <c r="AG84" s="633"/>
      <c r="AH84" s="633"/>
      <c r="AI84" s="633"/>
      <c r="AJ84" s="633"/>
      <c r="AK84" s="633"/>
      <c r="AL84" s="633"/>
      <c r="AM84" s="633"/>
      <c r="AN84" s="634"/>
      <c r="AO84" s="78"/>
      <c r="AT84" s="78"/>
      <c r="AU84" s="78"/>
      <c r="AW84" s="78"/>
      <c r="AX84" s="78"/>
      <c r="BA84" s="78"/>
      <c r="BC84" s="78"/>
      <c r="BF84" s="78"/>
      <c r="BI84" s="78"/>
      <c r="BL84" s="78"/>
      <c r="BO84" s="78"/>
      <c r="BR84" s="78"/>
      <c r="BT84" s="78"/>
      <c r="BU84" s="78"/>
      <c r="BV84" s="78"/>
      <c r="BZ84" s="78"/>
      <c r="CA84" s="23"/>
      <c r="CB84" s="30"/>
      <c r="CC84" s="30"/>
      <c r="CD84" s="30"/>
      <c r="CE84" s="30"/>
      <c r="CF84" s="30"/>
      <c r="CG84" s="30"/>
      <c r="CH84" s="30"/>
      <c r="CI84" s="30"/>
      <c r="CJ84" s="30"/>
      <c r="CK84" s="30"/>
      <c r="EG84" s="292"/>
      <c r="EH84" s="292"/>
      <c r="EI84" s="292"/>
      <c r="EJ84" s="292"/>
      <c r="EK84" s="292"/>
      <c r="EL84" s="292"/>
      <c r="EM84" s="292"/>
      <c r="EN84" s="292"/>
      <c r="EO84" s="292"/>
      <c r="EP84" s="292"/>
      <c r="EQ84" s="292"/>
      <c r="ER84" s="292"/>
      <c r="ES84" s="292"/>
      <c r="ET84" s="292"/>
      <c r="EU84" s="292"/>
      <c r="EV84" s="292"/>
      <c r="EW84" s="292"/>
      <c r="EX84" s="292"/>
      <c r="FA84" s="292"/>
      <c r="FB84" s="292"/>
      <c r="FC84" s="292"/>
      <c r="FD84" s="292"/>
      <c r="FE84" s="292"/>
      <c r="FF84" s="292"/>
      <c r="FG84" s="292"/>
      <c r="FH84" s="292"/>
      <c r="FI84" s="292"/>
      <c r="FJ84" s="292"/>
      <c r="FK84" s="292"/>
      <c r="FL84" s="292"/>
      <c r="FM84" s="292"/>
      <c r="FN84" s="292"/>
      <c r="FO84" s="292"/>
      <c r="FP84" s="292"/>
      <c r="FQ84" s="292"/>
      <c r="FR84" s="292"/>
      <c r="FS84" s="292"/>
      <c r="FT84" s="292"/>
      <c r="FU84" s="292"/>
      <c r="FV84" s="292"/>
      <c r="FW84" s="292"/>
      <c r="FX84" s="292"/>
      <c r="FY84" s="292"/>
      <c r="FZ84" s="292"/>
      <c r="GA84" s="292"/>
      <c r="GB84" s="292"/>
      <c r="GC84" s="292"/>
      <c r="GD84" s="292"/>
      <c r="GE84" s="292"/>
      <c r="GF84" s="292"/>
      <c r="GG84" s="292"/>
      <c r="GH84" s="292"/>
      <c r="GI84" s="292"/>
      <c r="GJ84" s="292"/>
      <c r="GK84" s="292"/>
      <c r="GL84" s="292"/>
      <c r="GM84" s="292"/>
      <c r="GN84" s="292"/>
      <c r="GO84" s="292"/>
      <c r="GP84" s="292"/>
      <c r="GQ84" s="292"/>
      <c r="GR84" s="292"/>
      <c r="GS84" s="292"/>
      <c r="GT84" s="292"/>
      <c r="GU84" s="292"/>
      <c r="GV84" s="292"/>
      <c r="GW84" s="292"/>
      <c r="GX84" s="292"/>
      <c r="GY84" s="292"/>
      <c r="GZ84" s="292"/>
      <c r="HA84" s="292"/>
      <c r="HB84" s="292"/>
      <c r="HC84" s="292"/>
      <c r="HD84" s="292"/>
      <c r="HE84" s="292"/>
      <c r="HF84" s="292"/>
      <c r="HG84" s="292"/>
      <c r="HH84" s="292"/>
      <c r="HI84" s="292"/>
      <c r="HJ84" s="292"/>
      <c r="HK84" s="292"/>
      <c r="HL84" s="292"/>
      <c r="HM84" s="292"/>
      <c r="HN84" s="292"/>
      <c r="HO84" s="292"/>
      <c r="HP84" s="292"/>
      <c r="HQ84" s="292"/>
      <c r="HR84" s="292"/>
      <c r="HS84" s="292"/>
      <c r="HT84" s="292"/>
      <c r="HU84" s="292"/>
      <c r="HV84" s="292"/>
      <c r="HW84" s="292"/>
      <c r="HX84" s="292"/>
      <c r="HY84" s="292"/>
      <c r="HZ84" s="292"/>
      <c r="IA84" s="292"/>
      <c r="IB84" s="292"/>
      <c r="IC84" s="292"/>
      <c r="ID84" s="292"/>
      <c r="IE84" s="292"/>
      <c r="IF84" s="292"/>
      <c r="IG84" s="292"/>
      <c r="IH84" s="292"/>
      <c r="II84" s="292"/>
      <c r="IJ84" s="292"/>
      <c r="IK84" s="292"/>
      <c r="IL84" s="292"/>
      <c r="IM84" s="292"/>
      <c r="IN84" s="292"/>
      <c r="IO84" s="292"/>
      <c r="IP84" s="292"/>
      <c r="IQ84" s="292"/>
      <c r="IR84" s="292"/>
      <c r="IS84" s="292"/>
      <c r="IT84" s="292"/>
      <c r="IU84" s="292"/>
      <c r="IV84" s="292"/>
      <c r="IW84" s="292"/>
      <c r="IX84" s="292"/>
      <c r="IY84" s="292"/>
      <c r="IZ84" s="292"/>
      <c r="JA84" s="292"/>
      <c r="JB84" s="292"/>
      <c r="JC84" s="292"/>
      <c r="JD84" s="292"/>
      <c r="JE84" s="292"/>
      <c r="JF84" s="292"/>
      <c r="JG84" s="292"/>
      <c r="JH84" s="292"/>
      <c r="JI84" s="292"/>
      <c r="JJ84" s="292"/>
      <c r="JK84" s="292"/>
      <c r="JL84" s="292"/>
      <c r="JM84" s="292"/>
      <c r="JN84" s="292"/>
      <c r="JO84" s="292"/>
      <c r="JP84" s="292"/>
      <c r="JQ84" s="292"/>
      <c r="JR84" s="292"/>
      <c r="JS84" s="292"/>
      <c r="JT84" s="292"/>
      <c r="JU84" s="292"/>
      <c r="JV84" s="292"/>
      <c r="JW84" s="292"/>
      <c r="JX84" s="292"/>
      <c r="JY84" s="292"/>
      <c r="JZ84" s="292"/>
      <c r="KA84" s="292"/>
      <c r="KB84" s="292"/>
      <c r="KC84" s="292"/>
      <c r="KD84" s="292"/>
      <c r="KE84" s="292"/>
      <c r="KF84" s="292"/>
      <c r="KG84" s="292"/>
      <c r="KH84" s="292"/>
      <c r="KI84" s="292"/>
      <c r="KJ84" s="292"/>
      <c r="KK84" s="292"/>
      <c r="KL84" s="292"/>
      <c r="KM84" s="292"/>
      <c r="KN84" s="292"/>
      <c r="KO84" s="292"/>
      <c r="KP84" s="292"/>
      <c r="KQ84" s="292"/>
      <c r="KR84" s="292"/>
      <c r="KS84" s="292"/>
      <c r="KT84" s="292"/>
      <c r="KU84" s="292"/>
      <c r="KV84" s="292"/>
      <c r="KW84" s="292"/>
      <c r="KX84" s="292"/>
      <c r="KY84" s="292"/>
      <c r="KZ84" s="292"/>
      <c r="LA84" s="292"/>
      <c r="LB84" s="292"/>
      <c r="LC84" s="292"/>
      <c r="LD84" s="292"/>
      <c r="LE84" s="292"/>
      <c r="LF84" s="292"/>
      <c r="LG84" s="292"/>
      <c r="LH84" s="292"/>
      <c r="LI84" s="292"/>
      <c r="LJ84" s="292"/>
      <c r="LK84" s="292"/>
      <c r="LL84" s="292"/>
      <c r="LM84" s="292"/>
      <c r="LN84" s="292"/>
      <c r="LO84" s="292"/>
      <c r="LP84" s="292"/>
      <c r="LQ84" s="292"/>
      <c r="LR84" s="292"/>
      <c r="LS84" s="292"/>
      <c r="LT84" s="292"/>
      <c r="LU84" s="292"/>
      <c r="LV84" s="292"/>
      <c r="LW84" s="292"/>
      <c r="LX84" s="292"/>
      <c r="LY84" s="292"/>
      <c r="LZ84" s="292"/>
      <c r="MA84" s="292"/>
      <c r="MB84" s="292"/>
      <c r="MC84" s="292"/>
      <c r="MD84" s="292"/>
      <c r="ME84" s="292"/>
      <c r="MF84" s="292"/>
      <c r="MG84" s="292"/>
      <c r="MH84" s="292"/>
      <c r="MI84" s="292"/>
      <c r="MJ84" s="292"/>
      <c r="MK84" s="292"/>
      <c r="ML84" s="292"/>
      <c r="MM84" s="292"/>
      <c r="MN84" s="292"/>
      <c r="MO84" s="292"/>
      <c r="MP84" s="292"/>
      <c r="MQ84" s="292"/>
      <c r="MR84" s="292"/>
      <c r="MS84" s="292"/>
      <c r="MT84" s="292"/>
      <c r="MU84" s="292"/>
      <c r="MV84" s="292"/>
      <c r="MW84" s="292"/>
      <c r="MX84" s="292"/>
      <c r="MY84" s="292"/>
      <c r="MZ84" s="292"/>
      <c r="NA84" s="292"/>
      <c r="NB84" s="292"/>
      <c r="NC84" s="292"/>
      <c r="ND84" s="292"/>
      <c r="NE84" s="292"/>
      <c r="NF84" s="292"/>
      <c r="NG84" s="292"/>
      <c r="NH84" s="292"/>
      <c r="NI84" s="292"/>
      <c r="NJ84" s="292"/>
      <c r="NK84" s="292"/>
      <c r="NL84" s="292"/>
      <c r="NM84" s="292"/>
      <c r="NN84" s="292"/>
      <c r="NO84" s="292"/>
      <c r="NP84" s="292"/>
      <c r="NQ84" s="292"/>
      <c r="NR84" s="292"/>
      <c r="NS84" s="292"/>
      <c r="NT84" s="292"/>
      <c r="NU84" s="292"/>
      <c r="NV84" s="292"/>
      <c r="NW84" s="292"/>
      <c r="NX84" s="292"/>
      <c r="NY84" s="568"/>
      <c r="NZ84" s="568"/>
      <c r="OA84" s="575"/>
      <c r="OB84" s="575"/>
      <c r="OC84" s="578"/>
      <c r="OD84" s="578"/>
    </row>
    <row r="85" spans="1:394" s="20" customFormat="1" ht="10.5" customHeight="1">
      <c r="A85" s="12"/>
      <c r="B85" s="12"/>
      <c r="C85" s="12"/>
      <c r="L85" s="17"/>
      <c r="P85" s="17" t="s">
        <v>64</v>
      </c>
      <c r="Q85" s="14"/>
      <c r="R85" s="17"/>
      <c r="T85" s="14"/>
      <c r="U85" s="17"/>
      <c r="W85" s="14"/>
      <c r="AE85" s="635"/>
      <c r="AF85" s="636"/>
      <c r="AG85" s="636"/>
      <c r="AH85" s="636"/>
      <c r="AI85" s="636"/>
      <c r="AJ85" s="636"/>
      <c r="AK85" s="636"/>
      <c r="AL85" s="636"/>
      <c r="AM85" s="636"/>
      <c r="AN85" s="637"/>
      <c r="CA85" s="29"/>
      <c r="CB85" s="30"/>
      <c r="CC85" s="30"/>
      <c r="CD85" s="30"/>
      <c r="CE85" s="30"/>
      <c r="CF85" s="30"/>
      <c r="CG85" s="30"/>
      <c r="CH85" s="30"/>
      <c r="CI85" s="30"/>
      <c r="CJ85" s="30"/>
      <c r="CK85" s="30"/>
      <c r="EG85" s="292"/>
      <c r="EH85" s="292"/>
      <c r="EI85" s="292"/>
      <c r="EJ85" s="292"/>
      <c r="EK85" s="292"/>
      <c r="EL85" s="292"/>
      <c r="EM85" s="292"/>
      <c r="EN85" s="292"/>
      <c r="EO85" s="292"/>
      <c r="EP85" s="292"/>
      <c r="EQ85" s="292"/>
      <c r="ER85" s="292"/>
      <c r="ES85" s="292"/>
      <c r="ET85" s="292"/>
      <c r="EU85" s="292"/>
      <c r="EV85" s="292"/>
      <c r="EW85" s="292"/>
      <c r="EX85" s="292"/>
      <c r="FA85" s="292"/>
      <c r="FB85" s="292"/>
      <c r="FC85" s="292"/>
      <c r="FD85" s="292"/>
      <c r="FE85" s="292"/>
      <c r="FF85" s="292"/>
      <c r="FG85" s="292"/>
      <c r="FH85" s="292"/>
      <c r="FI85" s="292"/>
      <c r="FJ85" s="292"/>
      <c r="FK85" s="292"/>
      <c r="FL85" s="292"/>
      <c r="FM85" s="292"/>
      <c r="FN85" s="292"/>
      <c r="FO85" s="292"/>
      <c r="FP85" s="292"/>
      <c r="FQ85" s="292"/>
      <c r="FR85" s="292"/>
      <c r="FS85" s="292"/>
      <c r="FT85" s="292"/>
      <c r="FU85" s="292"/>
      <c r="FV85" s="292"/>
      <c r="FW85" s="292"/>
      <c r="FX85" s="292"/>
      <c r="FY85" s="292"/>
      <c r="FZ85" s="292"/>
      <c r="GA85" s="292"/>
      <c r="GB85" s="292"/>
      <c r="GC85" s="292"/>
      <c r="GD85" s="292"/>
      <c r="GE85" s="292"/>
      <c r="GF85" s="292"/>
      <c r="GG85" s="292"/>
      <c r="GH85" s="292"/>
      <c r="GI85" s="292"/>
      <c r="GJ85" s="292"/>
      <c r="GK85" s="292"/>
      <c r="GL85" s="292"/>
      <c r="GM85" s="292"/>
      <c r="GN85" s="292"/>
      <c r="GO85" s="292"/>
      <c r="GP85" s="292"/>
      <c r="GQ85" s="292"/>
      <c r="GR85" s="292"/>
      <c r="GS85" s="292"/>
      <c r="GT85" s="292"/>
      <c r="GU85" s="292"/>
      <c r="GV85" s="292"/>
      <c r="GW85" s="292"/>
      <c r="GX85" s="292"/>
      <c r="GY85" s="292"/>
      <c r="GZ85" s="292"/>
      <c r="HA85" s="292"/>
      <c r="HB85" s="292"/>
      <c r="HC85" s="292"/>
      <c r="HD85" s="292"/>
      <c r="HE85" s="292"/>
      <c r="HF85" s="292"/>
      <c r="HG85" s="292"/>
      <c r="HH85" s="292"/>
      <c r="HI85" s="292"/>
      <c r="HJ85" s="292"/>
      <c r="HK85" s="292"/>
      <c r="HL85" s="292"/>
      <c r="HM85" s="292"/>
      <c r="HN85" s="292"/>
      <c r="HO85" s="292"/>
      <c r="HP85" s="292"/>
      <c r="HQ85" s="292"/>
      <c r="HR85" s="292"/>
      <c r="HS85" s="292"/>
      <c r="HT85" s="292"/>
      <c r="HU85" s="292"/>
      <c r="HV85" s="292"/>
      <c r="HW85" s="292"/>
      <c r="HX85" s="292"/>
      <c r="HY85" s="292"/>
      <c r="HZ85" s="292"/>
      <c r="IA85" s="292"/>
      <c r="IB85" s="292"/>
      <c r="IC85" s="292"/>
      <c r="ID85" s="292"/>
      <c r="IE85" s="292"/>
      <c r="IF85" s="292"/>
      <c r="IG85" s="292"/>
      <c r="IH85" s="292"/>
      <c r="II85" s="292"/>
      <c r="IJ85" s="292"/>
      <c r="IK85" s="292"/>
      <c r="IL85" s="292"/>
      <c r="IM85" s="292"/>
      <c r="IN85" s="292"/>
      <c r="IO85" s="292"/>
      <c r="IP85" s="292"/>
      <c r="IQ85" s="292"/>
      <c r="IR85" s="292"/>
      <c r="IS85" s="292"/>
      <c r="IT85" s="292"/>
      <c r="IU85" s="292"/>
      <c r="IV85" s="292"/>
      <c r="IW85" s="292"/>
      <c r="IX85" s="292"/>
      <c r="IY85" s="292"/>
      <c r="IZ85" s="292"/>
      <c r="JA85" s="292"/>
      <c r="JB85" s="292"/>
      <c r="JC85" s="292"/>
      <c r="JD85" s="292"/>
      <c r="JE85" s="292"/>
      <c r="JF85" s="292"/>
      <c r="JG85" s="292"/>
      <c r="JH85" s="292"/>
      <c r="JI85" s="292"/>
      <c r="JJ85" s="292"/>
      <c r="JK85" s="292"/>
      <c r="JL85" s="292"/>
      <c r="JM85" s="292"/>
      <c r="JN85" s="292"/>
      <c r="JO85" s="292"/>
      <c r="JP85" s="292"/>
      <c r="JQ85" s="292"/>
      <c r="JR85" s="292"/>
      <c r="JS85" s="292"/>
      <c r="JT85" s="292"/>
      <c r="JU85" s="292"/>
      <c r="JV85" s="292"/>
      <c r="JW85" s="292"/>
      <c r="JX85" s="292"/>
      <c r="JY85" s="292"/>
      <c r="JZ85" s="292"/>
      <c r="KA85" s="292"/>
      <c r="KB85" s="292"/>
      <c r="KC85" s="292"/>
      <c r="KD85" s="292"/>
      <c r="KE85" s="292"/>
      <c r="KF85" s="292"/>
      <c r="KG85" s="292"/>
      <c r="KH85" s="292"/>
      <c r="KI85" s="292"/>
      <c r="KJ85" s="292"/>
      <c r="KK85" s="292"/>
      <c r="KL85" s="292"/>
      <c r="KM85" s="292"/>
      <c r="KN85" s="292"/>
      <c r="KO85" s="292"/>
      <c r="KP85" s="292"/>
      <c r="KQ85" s="292"/>
      <c r="KR85" s="292"/>
      <c r="KS85" s="292"/>
      <c r="KT85" s="292"/>
      <c r="KU85" s="292"/>
      <c r="KV85" s="292"/>
      <c r="KW85" s="292"/>
      <c r="KX85" s="292"/>
      <c r="KY85" s="292"/>
      <c r="KZ85" s="292"/>
      <c r="LA85" s="292"/>
      <c r="LB85" s="292"/>
      <c r="LC85" s="292"/>
      <c r="LD85" s="292"/>
      <c r="LE85" s="292"/>
      <c r="LF85" s="292"/>
      <c r="LG85" s="292"/>
      <c r="LH85" s="292"/>
      <c r="LI85" s="292"/>
      <c r="LJ85" s="292"/>
      <c r="LK85" s="292"/>
      <c r="LL85" s="292"/>
      <c r="LM85" s="292"/>
      <c r="LN85" s="292"/>
      <c r="LO85" s="292"/>
      <c r="LP85" s="292"/>
      <c r="LQ85" s="292"/>
      <c r="LR85" s="292"/>
      <c r="LS85" s="292"/>
      <c r="LT85" s="292"/>
      <c r="LU85" s="292"/>
      <c r="LV85" s="292"/>
      <c r="LW85" s="292"/>
      <c r="LX85" s="292"/>
      <c r="LY85" s="292"/>
      <c r="LZ85" s="292"/>
      <c r="MA85" s="292"/>
      <c r="MB85" s="292"/>
      <c r="MC85" s="292"/>
      <c r="MD85" s="292"/>
      <c r="ME85" s="292"/>
      <c r="MF85" s="292"/>
      <c r="MG85" s="292"/>
      <c r="MH85" s="292"/>
      <c r="MI85" s="292"/>
      <c r="MJ85" s="292"/>
      <c r="MK85" s="292"/>
      <c r="ML85" s="292"/>
      <c r="MM85" s="292"/>
      <c r="MN85" s="292"/>
      <c r="MO85" s="292"/>
      <c r="MP85" s="292"/>
      <c r="MQ85" s="292"/>
      <c r="MR85" s="292"/>
      <c r="MS85" s="292"/>
      <c r="MT85" s="292"/>
      <c r="MU85" s="292"/>
      <c r="MV85" s="292"/>
      <c r="MW85" s="292"/>
      <c r="MX85" s="292"/>
      <c r="MY85" s="292"/>
      <c r="MZ85" s="292"/>
      <c r="NA85" s="292"/>
      <c r="NB85" s="292"/>
      <c r="NC85" s="292"/>
      <c r="ND85" s="292"/>
      <c r="NE85" s="292"/>
      <c r="NF85" s="292"/>
      <c r="NG85" s="292"/>
      <c r="NH85" s="292"/>
      <c r="NI85" s="292"/>
      <c r="NJ85" s="292"/>
      <c r="NK85" s="292"/>
      <c r="NL85" s="292"/>
      <c r="NM85" s="292"/>
      <c r="NN85" s="292"/>
      <c r="NO85" s="292"/>
      <c r="NP85" s="292"/>
      <c r="NQ85" s="292"/>
      <c r="NR85" s="292"/>
      <c r="NS85" s="292"/>
      <c r="NT85" s="292"/>
      <c r="NU85" s="292"/>
      <c r="NV85" s="292"/>
      <c r="NW85" s="292"/>
      <c r="NX85" s="292"/>
      <c r="NY85" s="568"/>
      <c r="NZ85" s="568"/>
      <c r="OA85" s="575"/>
      <c r="OB85" s="575"/>
      <c r="OC85" s="578"/>
      <c r="OD85" s="578"/>
    </row>
    <row r="86" spans="1:394" s="20" customFormat="1" ht="10.5" customHeight="1">
      <c r="A86" s="12"/>
      <c r="B86" s="12"/>
      <c r="C86" s="12"/>
      <c r="D86" s="14"/>
      <c r="E86" s="14"/>
      <c r="F86" s="14"/>
      <c r="G86" s="14"/>
      <c r="H86" s="17"/>
      <c r="I86" s="88"/>
      <c r="K86" s="17"/>
      <c r="L86" s="17"/>
      <c r="P86" s="20" t="s">
        <v>135</v>
      </c>
      <c r="Q86" s="14"/>
      <c r="R86" s="17"/>
      <c r="S86" s="17"/>
      <c r="T86" s="14"/>
      <c r="U86" s="17"/>
      <c r="V86" s="17"/>
      <c r="W86" s="14"/>
      <c r="Z86" s="23"/>
      <c r="AB86" s="72"/>
      <c r="AE86" s="635"/>
      <c r="AF86" s="636"/>
      <c r="AG86" s="636"/>
      <c r="AH86" s="636"/>
      <c r="AI86" s="636"/>
      <c r="AJ86" s="636"/>
      <c r="AK86" s="636"/>
      <c r="AL86" s="636"/>
      <c r="AM86" s="636"/>
      <c r="AN86" s="637"/>
      <c r="AO86" s="17"/>
      <c r="BB86" s="13"/>
      <c r="BM86" s="29"/>
      <c r="BO86" s="29"/>
      <c r="BP86" s="22"/>
      <c r="BQ86" s="22"/>
      <c r="BR86" s="22"/>
      <c r="BS86" s="22"/>
      <c r="BT86" s="34"/>
      <c r="BU86" s="34"/>
      <c r="BV86" s="34"/>
      <c r="BW86" s="36"/>
      <c r="BZ86" s="37"/>
      <c r="CA86" s="23"/>
      <c r="CB86" s="395"/>
      <c r="CC86" s="23"/>
      <c r="CD86" s="30"/>
      <c r="CE86" s="30"/>
      <c r="CF86" s="30"/>
      <c r="CG86" s="255" t="s">
        <v>42</v>
      </c>
      <c r="CH86" s="256"/>
      <c r="CI86" s="256"/>
      <c r="CJ86" s="256"/>
      <c r="CK86" s="256"/>
      <c r="CL86" s="256"/>
      <c r="CM86" s="256"/>
      <c r="CN86" s="257"/>
      <c r="CO86" s="257"/>
      <c r="EG86" s="292"/>
      <c r="EH86" s="292"/>
      <c r="EI86" s="292"/>
      <c r="EJ86" s="292"/>
      <c r="EK86" s="292"/>
      <c r="EL86" s="292"/>
      <c r="EM86" s="292"/>
      <c r="EN86" s="292"/>
      <c r="EO86" s="292"/>
      <c r="EP86" s="292"/>
      <c r="EQ86" s="292"/>
      <c r="ER86" s="292"/>
      <c r="ES86" s="292"/>
      <c r="ET86" s="292"/>
      <c r="EU86" s="292"/>
      <c r="EV86" s="292"/>
      <c r="EW86" s="292"/>
      <c r="EX86" s="292"/>
      <c r="FA86" s="292"/>
      <c r="FB86" s="292"/>
      <c r="FC86" s="292"/>
      <c r="FD86" s="292"/>
      <c r="FE86" s="292"/>
      <c r="FF86" s="292"/>
      <c r="FG86" s="292"/>
      <c r="FH86" s="292"/>
      <c r="FI86" s="292"/>
      <c r="FJ86" s="292"/>
      <c r="FK86" s="292"/>
      <c r="FL86" s="292"/>
      <c r="FM86" s="292"/>
      <c r="FN86" s="292"/>
      <c r="FO86" s="292"/>
      <c r="FP86" s="292"/>
      <c r="FQ86" s="292"/>
      <c r="FR86" s="292"/>
      <c r="FS86" s="292"/>
      <c r="FT86" s="292"/>
      <c r="FU86" s="292"/>
      <c r="FV86" s="292"/>
      <c r="FW86" s="292"/>
      <c r="FX86" s="292"/>
      <c r="FY86" s="292"/>
      <c r="FZ86" s="292"/>
      <c r="GA86" s="292"/>
      <c r="GB86" s="292"/>
      <c r="GC86" s="292"/>
      <c r="GD86" s="292"/>
      <c r="GE86" s="292"/>
      <c r="GF86" s="292"/>
      <c r="GG86" s="292"/>
      <c r="GH86" s="292"/>
      <c r="GI86" s="292"/>
      <c r="GJ86" s="292"/>
      <c r="GK86" s="292"/>
      <c r="GL86" s="292"/>
      <c r="GM86" s="292"/>
      <c r="GN86" s="292"/>
      <c r="GO86" s="292"/>
      <c r="GP86" s="292"/>
      <c r="GQ86" s="292"/>
      <c r="GR86" s="292"/>
      <c r="GS86" s="292"/>
      <c r="GT86" s="292"/>
      <c r="GU86" s="292"/>
      <c r="GV86" s="292"/>
      <c r="GW86" s="292"/>
      <c r="GX86" s="292"/>
      <c r="GY86" s="292"/>
      <c r="GZ86" s="292"/>
      <c r="HA86" s="292"/>
      <c r="HB86" s="292"/>
      <c r="HC86" s="292"/>
      <c r="HD86" s="292"/>
      <c r="HE86" s="292"/>
      <c r="HF86" s="292"/>
      <c r="HG86" s="292"/>
      <c r="HH86" s="292"/>
      <c r="HI86" s="292"/>
      <c r="HJ86" s="292"/>
      <c r="HK86" s="292"/>
      <c r="HL86" s="292"/>
      <c r="HM86" s="292"/>
      <c r="HN86" s="292"/>
      <c r="HO86" s="292"/>
      <c r="HP86" s="292"/>
      <c r="HQ86" s="292"/>
      <c r="HR86" s="292"/>
      <c r="HS86" s="292"/>
      <c r="HT86" s="292"/>
      <c r="HU86" s="292"/>
      <c r="HV86" s="292"/>
      <c r="HW86" s="292"/>
      <c r="HX86" s="292"/>
      <c r="HY86" s="292"/>
      <c r="HZ86" s="292"/>
      <c r="IA86" s="292"/>
      <c r="IB86" s="292"/>
      <c r="IC86" s="292"/>
      <c r="ID86" s="292"/>
      <c r="IE86" s="292"/>
      <c r="IF86" s="292"/>
      <c r="IG86" s="292"/>
      <c r="IH86" s="292"/>
      <c r="II86" s="292"/>
      <c r="IJ86" s="292"/>
      <c r="IK86" s="292"/>
      <c r="IL86" s="292"/>
      <c r="IM86" s="292"/>
      <c r="IN86" s="292"/>
      <c r="IO86" s="292"/>
      <c r="IP86" s="292"/>
      <c r="IQ86" s="292"/>
      <c r="IR86" s="292"/>
      <c r="IS86" s="292"/>
      <c r="IT86" s="292"/>
      <c r="IU86" s="292"/>
      <c r="IV86" s="292"/>
      <c r="IW86" s="292"/>
      <c r="IX86" s="292"/>
      <c r="IY86" s="292"/>
      <c r="IZ86" s="292"/>
      <c r="JA86" s="292"/>
      <c r="JB86" s="292"/>
      <c r="JC86" s="292"/>
      <c r="JD86" s="292"/>
      <c r="JE86" s="292"/>
      <c r="JF86" s="292"/>
      <c r="JG86" s="292"/>
      <c r="JH86" s="292"/>
      <c r="JI86" s="292"/>
      <c r="JJ86" s="292"/>
      <c r="JK86" s="292"/>
      <c r="JL86" s="292"/>
      <c r="JM86" s="292"/>
      <c r="JN86" s="292"/>
      <c r="JO86" s="292"/>
      <c r="JP86" s="292"/>
      <c r="JQ86" s="292"/>
      <c r="JR86" s="292"/>
      <c r="JS86" s="292"/>
      <c r="JT86" s="292"/>
      <c r="JU86" s="292"/>
      <c r="JV86" s="292"/>
      <c r="JW86" s="292"/>
      <c r="JX86" s="292"/>
      <c r="JY86" s="292"/>
      <c r="JZ86" s="292"/>
      <c r="KA86" s="292"/>
      <c r="KB86" s="292"/>
      <c r="KC86" s="292"/>
      <c r="KD86" s="292"/>
      <c r="KE86" s="292"/>
      <c r="KF86" s="292"/>
      <c r="KG86" s="292"/>
      <c r="KH86" s="292"/>
      <c r="KI86" s="292"/>
      <c r="KJ86" s="292"/>
      <c r="KK86" s="292"/>
      <c r="KL86" s="292"/>
      <c r="KM86" s="292"/>
      <c r="KN86" s="292"/>
      <c r="KO86" s="292"/>
      <c r="KP86" s="292"/>
      <c r="KQ86" s="292"/>
      <c r="KR86" s="292"/>
      <c r="KS86" s="292"/>
      <c r="KT86" s="292"/>
      <c r="KU86" s="292"/>
      <c r="KV86" s="292"/>
      <c r="KW86" s="292"/>
      <c r="KX86" s="292"/>
      <c r="KY86" s="292"/>
      <c r="KZ86" s="292"/>
      <c r="LA86" s="292"/>
      <c r="LB86" s="292"/>
      <c r="LC86" s="292"/>
      <c r="LD86" s="292"/>
      <c r="LE86" s="292"/>
      <c r="LF86" s="292"/>
      <c r="LG86" s="292"/>
      <c r="LH86" s="292"/>
      <c r="LI86" s="292"/>
      <c r="LJ86" s="292"/>
      <c r="LK86" s="292"/>
      <c r="LL86" s="292"/>
      <c r="LM86" s="292"/>
      <c r="LN86" s="292"/>
      <c r="LO86" s="292"/>
      <c r="LP86" s="292"/>
      <c r="LQ86" s="292"/>
      <c r="LR86" s="292"/>
      <c r="LS86" s="292"/>
      <c r="LT86" s="292"/>
      <c r="LU86" s="292"/>
      <c r="LV86" s="292"/>
      <c r="LW86" s="292"/>
      <c r="LX86" s="292"/>
      <c r="LY86" s="292"/>
      <c r="LZ86" s="292"/>
      <c r="MA86" s="292"/>
      <c r="MB86" s="292"/>
      <c r="MC86" s="292"/>
      <c r="MD86" s="292"/>
      <c r="ME86" s="292"/>
      <c r="MF86" s="292"/>
      <c r="MG86" s="292"/>
      <c r="MH86" s="292"/>
      <c r="MI86" s="292"/>
      <c r="MJ86" s="292"/>
      <c r="MK86" s="292"/>
      <c r="ML86" s="292"/>
      <c r="MM86" s="292"/>
      <c r="MN86" s="292"/>
      <c r="MO86" s="292"/>
      <c r="MP86" s="292"/>
      <c r="MQ86" s="292"/>
      <c r="MR86" s="292"/>
      <c r="MS86" s="292"/>
      <c r="MT86" s="292"/>
      <c r="MU86" s="292"/>
      <c r="MV86" s="292"/>
      <c r="MW86" s="292"/>
      <c r="MX86" s="292"/>
      <c r="MY86" s="292"/>
      <c r="MZ86" s="292"/>
      <c r="NA86" s="292"/>
      <c r="NB86" s="292"/>
      <c r="NC86" s="292"/>
      <c r="ND86" s="292"/>
      <c r="NE86" s="292"/>
      <c r="NF86" s="292"/>
      <c r="NG86" s="292"/>
      <c r="NH86" s="292"/>
      <c r="NI86" s="292"/>
      <c r="NJ86" s="292"/>
      <c r="NK86" s="292"/>
      <c r="NL86" s="292"/>
      <c r="NM86" s="292"/>
      <c r="NN86" s="292"/>
      <c r="NO86" s="292"/>
      <c r="NP86" s="292"/>
      <c r="NQ86" s="292"/>
      <c r="NR86" s="292"/>
      <c r="NS86" s="292"/>
      <c r="NT86" s="292"/>
      <c r="NU86" s="292"/>
      <c r="NV86" s="292"/>
      <c r="NW86" s="292"/>
      <c r="NX86" s="292"/>
      <c r="NY86" s="568"/>
      <c r="NZ86" s="568"/>
      <c r="OA86" s="575"/>
      <c r="OB86" s="575"/>
      <c r="OC86" s="578"/>
      <c r="OD86" s="578"/>
    </row>
    <row r="87" spans="1:394" s="20" customFormat="1" ht="10.5" customHeight="1">
      <c r="A87" s="12"/>
      <c r="B87" s="12"/>
      <c r="C87" s="12"/>
      <c r="D87" s="14"/>
      <c r="E87" s="14"/>
      <c r="F87" s="14"/>
      <c r="G87" s="14"/>
      <c r="H87" s="17"/>
      <c r="K87" s="17"/>
      <c r="L87" s="17"/>
      <c r="P87" s="17" t="s">
        <v>165</v>
      </c>
      <c r="Q87" s="17"/>
      <c r="X87" s="17"/>
      <c r="Z87" s="23"/>
      <c r="AB87" s="72"/>
      <c r="AE87" s="635"/>
      <c r="AF87" s="636"/>
      <c r="AG87" s="636"/>
      <c r="AH87" s="636"/>
      <c r="AI87" s="636"/>
      <c r="AJ87" s="636"/>
      <c r="AK87" s="636"/>
      <c r="AL87" s="636"/>
      <c r="AM87" s="636"/>
      <c r="AN87" s="637"/>
      <c r="AO87" s="17"/>
      <c r="BB87" s="13"/>
      <c r="BM87" s="29"/>
      <c r="BO87" s="29"/>
      <c r="BP87" s="22"/>
      <c r="BQ87" s="22"/>
      <c r="BR87" s="22"/>
      <c r="BS87" s="22"/>
      <c r="BT87" s="34"/>
      <c r="BU87" s="34"/>
      <c r="BV87" s="34"/>
      <c r="BW87" s="36"/>
      <c r="BZ87" s="37"/>
      <c r="CA87" s="29"/>
      <c r="CB87" s="395"/>
      <c r="CC87" s="23"/>
      <c r="CD87" s="30"/>
      <c r="CE87" s="30"/>
      <c r="CF87" s="30"/>
      <c r="CG87" s="213" t="s">
        <v>336</v>
      </c>
      <c r="CH87" s="214"/>
      <c r="CI87" s="214"/>
      <c r="CJ87" s="214"/>
      <c r="CK87" s="214"/>
      <c r="CL87" s="214"/>
      <c r="CM87" s="326"/>
      <c r="CN87" s="327"/>
      <c r="CO87" s="327"/>
      <c r="EG87" s="292"/>
      <c r="EH87" s="292"/>
      <c r="EI87" s="292"/>
      <c r="EJ87" s="292"/>
      <c r="EK87" s="292"/>
      <c r="EL87" s="292"/>
      <c r="EM87" s="292"/>
      <c r="EN87" s="292"/>
      <c r="EO87" s="292"/>
      <c r="EP87" s="292"/>
      <c r="EQ87" s="292"/>
      <c r="ER87" s="292"/>
      <c r="ES87" s="292"/>
      <c r="ET87" s="292"/>
      <c r="EU87" s="292"/>
      <c r="EV87" s="292"/>
      <c r="EW87" s="292"/>
      <c r="EX87" s="292"/>
      <c r="FA87" s="292"/>
      <c r="FB87" s="292"/>
      <c r="FC87" s="292"/>
      <c r="FD87" s="292"/>
      <c r="FE87" s="292"/>
      <c r="FF87" s="292"/>
      <c r="FG87" s="292"/>
      <c r="FH87" s="292"/>
      <c r="FI87" s="292"/>
      <c r="FJ87" s="292"/>
      <c r="FK87" s="292"/>
      <c r="FL87" s="292"/>
      <c r="FM87" s="292"/>
      <c r="FN87" s="292"/>
      <c r="FO87" s="292"/>
      <c r="FP87" s="292"/>
      <c r="FQ87" s="292"/>
      <c r="FR87" s="292"/>
      <c r="FS87" s="292"/>
      <c r="FT87" s="292"/>
      <c r="FU87" s="292"/>
      <c r="FV87" s="292"/>
      <c r="FW87" s="292"/>
      <c r="FX87" s="292"/>
      <c r="FY87" s="292"/>
      <c r="FZ87" s="292"/>
      <c r="GA87" s="292"/>
      <c r="GB87" s="292"/>
      <c r="GC87" s="292"/>
      <c r="GD87" s="292"/>
      <c r="GE87" s="292"/>
      <c r="GF87" s="292"/>
      <c r="GG87" s="292"/>
      <c r="GH87" s="292"/>
      <c r="GI87" s="292"/>
      <c r="GJ87" s="292"/>
      <c r="GK87" s="292"/>
      <c r="GL87" s="292"/>
      <c r="GM87" s="292"/>
      <c r="GN87" s="292"/>
      <c r="GO87" s="292"/>
      <c r="GP87" s="292"/>
      <c r="GQ87" s="292"/>
      <c r="GR87" s="292"/>
      <c r="GS87" s="292"/>
      <c r="GT87" s="292"/>
      <c r="GU87" s="292"/>
      <c r="GV87" s="292"/>
      <c r="GW87" s="292"/>
      <c r="GX87" s="292"/>
      <c r="GY87" s="292"/>
      <c r="GZ87" s="292"/>
      <c r="HA87" s="292"/>
      <c r="HB87" s="292"/>
      <c r="HC87" s="292"/>
      <c r="HD87" s="292"/>
      <c r="HE87" s="292"/>
      <c r="HF87" s="292"/>
      <c r="HG87" s="292"/>
      <c r="HH87" s="292"/>
      <c r="HI87" s="292"/>
      <c r="HJ87" s="292"/>
      <c r="HK87" s="292"/>
      <c r="HL87" s="292"/>
      <c r="HM87" s="292"/>
      <c r="HN87" s="292"/>
      <c r="HO87" s="292"/>
      <c r="HP87" s="292"/>
      <c r="HQ87" s="292"/>
      <c r="HR87" s="292"/>
      <c r="HS87" s="292"/>
      <c r="HT87" s="292"/>
      <c r="HU87" s="292"/>
      <c r="HV87" s="292"/>
      <c r="HW87" s="292"/>
      <c r="HX87" s="292"/>
      <c r="HY87" s="292"/>
      <c r="HZ87" s="292"/>
      <c r="IA87" s="292"/>
      <c r="IB87" s="292"/>
      <c r="IC87" s="292"/>
      <c r="ID87" s="292"/>
      <c r="IE87" s="292"/>
      <c r="IF87" s="292"/>
      <c r="IG87" s="292"/>
      <c r="IH87" s="292"/>
      <c r="II87" s="292"/>
      <c r="IJ87" s="292"/>
      <c r="IK87" s="292"/>
      <c r="IL87" s="292"/>
      <c r="IM87" s="292"/>
      <c r="IN87" s="292"/>
      <c r="IO87" s="292"/>
      <c r="IP87" s="292"/>
      <c r="IQ87" s="292"/>
      <c r="IR87" s="292"/>
      <c r="IS87" s="292"/>
      <c r="IT87" s="292"/>
      <c r="IU87" s="292"/>
      <c r="IV87" s="292"/>
      <c r="IW87" s="292"/>
      <c r="IX87" s="292"/>
      <c r="IY87" s="292"/>
      <c r="IZ87" s="292"/>
      <c r="JA87" s="292"/>
      <c r="JB87" s="292"/>
      <c r="JC87" s="292"/>
      <c r="JD87" s="292"/>
      <c r="JE87" s="292"/>
      <c r="JF87" s="292"/>
      <c r="JG87" s="292"/>
      <c r="JH87" s="292"/>
      <c r="JI87" s="292"/>
      <c r="JJ87" s="292"/>
      <c r="JK87" s="292"/>
      <c r="JL87" s="292"/>
      <c r="JM87" s="292"/>
      <c r="JN87" s="292"/>
      <c r="JO87" s="292"/>
      <c r="JP87" s="292"/>
      <c r="JQ87" s="292"/>
      <c r="JR87" s="292"/>
      <c r="JS87" s="292"/>
      <c r="JT87" s="292"/>
      <c r="JU87" s="292"/>
      <c r="JV87" s="292"/>
      <c r="JW87" s="292"/>
      <c r="JX87" s="292"/>
      <c r="JY87" s="292"/>
      <c r="JZ87" s="292"/>
      <c r="KA87" s="292"/>
      <c r="KB87" s="292"/>
      <c r="KC87" s="292"/>
      <c r="KD87" s="292"/>
      <c r="KE87" s="292"/>
      <c r="KF87" s="292"/>
      <c r="KG87" s="292"/>
      <c r="KH87" s="292"/>
      <c r="KI87" s="292"/>
      <c r="KJ87" s="292"/>
      <c r="KK87" s="292"/>
      <c r="KL87" s="292"/>
      <c r="KM87" s="292"/>
      <c r="KN87" s="292"/>
      <c r="KO87" s="292"/>
      <c r="KP87" s="292"/>
      <c r="KQ87" s="292"/>
      <c r="KR87" s="292"/>
      <c r="KS87" s="292"/>
      <c r="KT87" s="292"/>
      <c r="KU87" s="292"/>
      <c r="KV87" s="292"/>
      <c r="KW87" s="292"/>
      <c r="KX87" s="292"/>
      <c r="KY87" s="292"/>
      <c r="KZ87" s="292"/>
      <c r="LA87" s="292"/>
      <c r="LB87" s="292"/>
      <c r="LC87" s="292"/>
      <c r="LD87" s="292"/>
      <c r="LE87" s="292"/>
      <c r="LF87" s="292"/>
      <c r="LG87" s="292"/>
      <c r="LH87" s="292"/>
      <c r="LI87" s="292"/>
      <c r="LJ87" s="292"/>
      <c r="LK87" s="292"/>
      <c r="LL87" s="292"/>
      <c r="LM87" s="292"/>
      <c r="LN87" s="292"/>
      <c r="LO87" s="292"/>
      <c r="LP87" s="292"/>
      <c r="LQ87" s="292"/>
      <c r="LR87" s="292"/>
      <c r="LS87" s="292"/>
      <c r="LT87" s="292"/>
      <c r="LU87" s="292"/>
      <c r="LV87" s="292"/>
      <c r="LW87" s="292"/>
      <c r="LX87" s="292"/>
      <c r="LY87" s="292"/>
      <c r="LZ87" s="292"/>
      <c r="MA87" s="292"/>
      <c r="MB87" s="292"/>
      <c r="MC87" s="292"/>
      <c r="MD87" s="292"/>
      <c r="ME87" s="292"/>
      <c r="MF87" s="292"/>
      <c r="MG87" s="292"/>
      <c r="MH87" s="292"/>
      <c r="MI87" s="292"/>
      <c r="MJ87" s="292"/>
      <c r="MK87" s="292"/>
      <c r="ML87" s="292"/>
      <c r="MM87" s="292"/>
      <c r="MN87" s="292"/>
      <c r="MO87" s="292"/>
      <c r="MP87" s="292"/>
      <c r="MQ87" s="292"/>
      <c r="MR87" s="292"/>
      <c r="MS87" s="292"/>
      <c r="MT87" s="292"/>
      <c r="MU87" s="292"/>
      <c r="MV87" s="292"/>
      <c r="MW87" s="292"/>
      <c r="MX87" s="292"/>
      <c r="MY87" s="292"/>
      <c r="MZ87" s="292"/>
      <c r="NA87" s="292"/>
      <c r="NB87" s="292"/>
      <c r="NC87" s="292"/>
      <c r="ND87" s="292"/>
      <c r="NE87" s="292"/>
      <c r="NF87" s="292"/>
      <c r="NG87" s="292"/>
      <c r="NH87" s="292"/>
      <c r="NI87" s="292"/>
      <c r="NJ87" s="292"/>
      <c r="NK87" s="292"/>
      <c r="NL87" s="292"/>
      <c r="NM87" s="292"/>
      <c r="NN87" s="292"/>
      <c r="NO87" s="292"/>
      <c r="NP87" s="292"/>
      <c r="NQ87" s="292"/>
      <c r="NR87" s="292"/>
      <c r="NS87" s="292"/>
      <c r="NT87" s="292"/>
      <c r="NU87" s="292"/>
      <c r="NV87" s="292"/>
      <c r="NW87" s="292"/>
      <c r="NX87" s="292"/>
      <c r="NY87" s="568"/>
      <c r="NZ87" s="568"/>
      <c r="OA87" s="575"/>
      <c r="OB87" s="575"/>
      <c r="OC87" s="578"/>
      <c r="OD87" s="578"/>
    </row>
    <row r="88" spans="1:394" s="20" customFormat="1" ht="10.5" customHeight="1">
      <c r="A88" s="23"/>
      <c r="B88" s="23"/>
      <c r="C88" s="13"/>
      <c r="D88" s="29"/>
      <c r="E88" s="29"/>
      <c r="F88" s="29"/>
      <c r="G88" s="29"/>
      <c r="H88" s="17"/>
      <c r="I88" s="17"/>
      <c r="J88" s="14"/>
      <c r="K88" s="17"/>
      <c r="L88" s="17"/>
      <c r="M88" s="14"/>
      <c r="O88" s="17"/>
      <c r="P88" s="17" t="s">
        <v>166</v>
      </c>
      <c r="Q88" s="14"/>
      <c r="R88" s="17"/>
      <c r="T88" s="14"/>
      <c r="U88" s="17"/>
      <c r="W88" s="14"/>
      <c r="X88" s="17"/>
      <c r="Y88" s="17"/>
      <c r="Z88" s="72"/>
      <c r="AB88" s="72"/>
      <c r="AE88" s="635"/>
      <c r="AF88" s="636"/>
      <c r="AG88" s="636"/>
      <c r="AH88" s="636"/>
      <c r="AI88" s="636"/>
      <c r="AJ88" s="636"/>
      <c r="AK88" s="636"/>
      <c r="AL88" s="636"/>
      <c r="AM88" s="636"/>
      <c r="AN88" s="637"/>
      <c r="AO88" s="17"/>
      <c r="AP88" s="17"/>
      <c r="AQ88" s="22"/>
      <c r="AR88" s="17"/>
      <c r="AS88" s="17"/>
      <c r="AT88" s="17"/>
      <c r="AU88" s="17"/>
      <c r="AV88" s="52"/>
      <c r="AW88" s="52"/>
      <c r="AX88" s="52"/>
      <c r="AY88" s="52"/>
      <c r="AZ88" s="52"/>
      <c r="BA88" s="52"/>
      <c r="BB88" s="13"/>
      <c r="BM88" s="34"/>
      <c r="BR88" s="22"/>
      <c r="BS88" s="22"/>
      <c r="BZ88" s="37"/>
      <c r="CA88" s="22"/>
      <c r="CB88" s="30"/>
      <c r="CC88" s="30"/>
      <c r="CD88" s="30"/>
      <c r="CE88" s="30"/>
      <c r="CF88" s="30"/>
      <c r="CG88" s="53" t="s">
        <v>71</v>
      </c>
      <c r="CH88" s="21"/>
      <c r="CI88" s="328" t="s">
        <v>256</v>
      </c>
      <c r="CJ88" s="328" t="s">
        <v>268</v>
      </c>
      <c r="CK88" s="328" t="s">
        <v>278</v>
      </c>
      <c r="CL88" s="328" t="s">
        <v>310</v>
      </c>
      <c r="CM88" s="328" t="s">
        <v>326</v>
      </c>
      <c r="CN88" s="264" t="s">
        <v>339</v>
      </c>
      <c r="CO88" s="264" t="s">
        <v>7</v>
      </c>
      <c r="EG88" s="292"/>
      <c r="EH88" s="292"/>
      <c r="EI88" s="292"/>
      <c r="EJ88" s="292"/>
      <c r="EK88" s="292"/>
      <c r="EL88" s="292"/>
      <c r="EM88" s="292"/>
      <c r="EN88" s="292"/>
      <c r="EO88" s="292"/>
      <c r="EP88" s="292"/>
      <c r="EQ88" s="292"/>
      <c r="ER88" s="292"/>
      <c r="ES88" s="292"/>
      <c r="ET88" s="292"/>
      <c r="EU88" s="292"/>
      <c r="EV88" s="292"/>
      <c r="EW88" s="292"/>
      <c r="EX88" s="292"/>
      <c r="FA88" s="292"/>
      <c r="FB88" s="292"/>
      <c r="FC88" s="292"/>
      <c r="FD88" s="292"/>
      <c r="FE88" s="292"/>
      <c r="FF88" s="292"/>
      <c r="FG88" s="292"/>
      <c r="FH88" s="292"/>
      <c r="FI88" s="292"/>
      <c r="FJ88" s="292"/>
      <c r="FK88" s="292"/>
      <c r="FL88" s="292"/>
      <c r="FM88" s="292"/>
      <c r="FN88" s="292"/>
      <c r="FO88" s="292"/>
      <c r="FP88" s="292"/>
      <c r="FQ88" s="292"/>
      <c r="FR88" s="292"/>
      <c r="FS88" s="292"/>
      <c r="FT88" s="292"/>
      <c r="FU88" s="292"/>
      <c r="FV88" s="292"/>
      <c r="FW88" s="292"/>
      <c r="FX88" s="292"/>
      <c r="FY88" s="292"/>
      <c r="FZ88" s="292"/>
      <c r="GA88" s="292"/>
      <c r="GB88" s="292"/>
      <c r="GC88" s="292"/>
      <c r="GD88" s="292"/>
      <c r="GE88" s="292"/>
      <c r="GF88" s="292"/>
      <c r="GG88" s="292"/>
      <c r="GH88" s="292"/>
      <c r="GI88" s="292"/>
      <c r="GJ88" s="292"/>
      <c r="GK88" s="292"/>
      <c r="GL88" s="292"/>
      <c r="GM88" s="292"/>
      <c r="GN88" s="292"/>
      <c r="GO88" s="292"/>
      <c r="GP88" s="292"/>
      <c r="GQ88" s="292"/>
      <c r="GR88" s="292"/>
      <c r="GS88" s="292"/>
      <c r="GT88" s="292"/>
      <c r="GU88" s="292"/>
      <c r="GV88" s="292"/>
      <c r="GW88" s="292"/>
      <c r="GX88" s="292"/>
      <c r="GY88" s="292"/>
      <c r="GZ88" s="292"/>
      <c r="HA88" s="292"/>
      <c r="HB88" s="292"/>
      <c r="HC88" s="292"/>
      <c r="HD88" s="292"/>
      <c r="HE88" s="292"/>
      <c r="HF88" s="292"/>
      <c r="HG88" s="292"/>
      <c r="HH88" s="292"/>
      <c r="HI88" s="292"/>
      <c r="HJ88" s="292"/>
      <c r="HK88" s="292"/>
      <c r="HL88" s="292"/>
      <c r="HM88" s="292"/>
      <c r="HN88" s="292"/>
      <c r="HO88" s="292"/>
      <c r="HP88" s="292"/>
      <c r="HQ88" s="292"/>
      <c r="HR88" s="292"/>
      <c r="HS88" s="292"/>
      <c r="HT88" s="292"/>
      <c r="HU88" s="292"/>
      <c r="HV88" s="292"/>
      <c r="HW88" s="292"/>
      <c r="HX88" s="292"/>
      <c r="HY88" s="292"/>
      <c r="HZ88" s="292"/>
      <c r="IA88" s="292"/>
      <c r="IB88" s="292"/>
      <c r="IC88" s="292"/>
      <c r="ID88" s="292"/>
      <c r="IE88" s="292"/>
      <c r="IF88" s="292"/>
      <c r="IG88" s="292"/>
      <c r="IH88" s="292"/>
      <c r="II88" s="292"/>
      <c r="IJ88" s="292"/>
      <c r="IK88" s="292"/>
      <c r="IL88" s="292"/>
      <c r="IM88" s="292"/>
      <c r="IN88" s="292"/>
      <c r="IO88" s="292"/>
      <c r="IP88" s="292"/>
      <c r="IQ88" s="292"/>
      <c r="IR88" s="292"/>
      <c r="IS88" s="292"/>
      <c r="IT88" s="292"/>
      <c r="IU88" s="292"/>
      <c r="IV88" s="292"/>
      <c r="IW88" s="292"/>
      <c r="IX88" s="292"/>
      <c r="IY88" s="292"/>
      <c r="IZ88" s="292"/>
      <c r="JA88" s="292"/>
      <c r="JB88" s="292"/>
      <c r="JC88" s="292"/>
      <c r="JD88" s="292"/>
      <c r="JE88" s="292"/>
      <c r="JF88" s="292"/>
      <c r="JG88" s="292"/>
      <c r="JH88" s="292"/>
      <c r="JI88" s="292"/>
      <c r="JJ88" s="292"/>
      <c r="JK88" s="292"/>
      <c r="JL88" s="292"/>
      <c r="JM88" s="292"/>
      <c r="JN88" s="292"/>
      <c r="JO88" s="292"/>
      <c r="JP88" s="292"/>
      <c r="JQ88" s="292"/>
      <c r="JR88" s="292"/>
      <c r="JS88" s="292"/>
      <c r="JT88" s="292"/>
      <c r="JU88" s="292"/>
      <c r="JV88" s="292"/>
      <c r="JW88" s="292"/>
      <c r="JX88" s="292"/>
      <c r="JY88" s="292"/>
      <c r="JZ88" s="292"/>
      <c r="KA88" s="292"/>
      <c r="KB88" s="292"/>
      <c r="KC88" s="292"/>
      <c r="KD88" s="292"/>
      <c r="KE88" s="292"/>
      <c r="KF88" s="292"/>
      <c r="KG88" s="292"/>
      <c r="KH88" s="292"/>
      <c r="KI88" s="292"/>
      <c r="KJ88" s="292"/>
      <c r="KK88" s="292"/>
      <c r="KL88" s="292"/>
      <c r="KM88" s="292"/>
      <c r="KN88" s="292"/>
      <c r="KO88" s="292"/>
      <c r="KP88" s="292"/>
      <c r="KQ88" s="292"/>
      <c r="KR88" s="292"/>
      <c r="KS88" s="292"/>
      <c r="KT88" s="292"/>
      <c r="KU88" s="292"/>
      <c r="KV88" s="292"/>
      <c r="KW88" s="292"/>
      <c r="KX88" s="292"/>
      <c r="KY88" s="292"/>
      <c r="KZ88" s="292"/>
      <c r="LA88" s="292"/>
      <c r="LB88" s="292"/>
      <c r="LC88" s="292"/>
      <c r="LD88" s="292"/>
      <c r="LE88" s="292"/>
      <c r="LF88" s="292"/>
      <c r="LG88" s="292"/>
      <c r="LH88" s="292"/>
      <c r="LI88" s="292"/>
      <c r="LJ88" s="292"/>
      <c r="LK88" s="292"/>
      <c r="LL88" s="292"/>
      <c r="LM88" s="292"/>
      <c r="LN88" s="292"/>
      <c r="LO88" s="292"/>
      <c r="LP88" s="292"/>
      <c r="LQ88" s="292"/>
      <c r="LR88" s="292"/>
      <c r="LS88" s="292"/>
      <c r="LT88" s="292"/>
      <c r="LU88" s="292"/>
      <c r="LV88" s="292"/>
      <c r="LW88" s="292"/>
      <c r="LX88" s="292"/>
      <c r="LY88" s="292"/>
      <c r="LZ88" s="292"/>
      <c r="MA88" s="292"/>
      <c r="MB88" s="292"/>
      <c r="MC88" s="292"/>
      <c r="MD88" s="292"/>
      <c r="ME88" s="292"/>
      <c r="MF88" s="292"/>
      <c r="MG88" s="292"/>
      <c r="MH88" s="292"/>
      <c r="MI88" s="292"/>
      <c r="MJ88" s="292"/>
      <c r="MK88" s="292"/>
      <c r="ML88" s="292"/>
      <c r="MM88" s="292"/>
      <c r="MN88" s="292"/>
      <c r="MO88" s="292"/>
      <c r="MP88" s="292"/>
      <c r="MQ88" s="292"/>
      <c r="MR88" s="292"/>
      <c r="MS88" s="292"/>
      <c r="MT88" s="292"/>
      <c r="MU88" s="292"/>
      <c r="MV88" s="292"/>
      <c r="MW88" s="292"/>
      <c r="MX88" s="292"/>
      <c r="MY88" s="292"/>
      <c r="MZ88" s="292"/>
      <c r="NA88" s="292"/>
      <c r="NB88" s="292"/>
      <c r="NC88" s="292"/>
      <c r="ND88" s="292"/>
      <c r="NE88" s="292"/>
      <c r="NF88" s="292"/>
      <c r="NG88" s="292"/>
      <c r="NH88" s="292"/>
      <c r="NI88" s="292"/>
      <c r="NJ88" s="292"/>
      <c r="NK88" s="292"/>
      <c r="NL88" s="292"/>
      <c r="NM88" s="292"/>
      <c r="NN88" s="292"/>
      <c r="NO88" s="292"/>
      <c r="NP88" s="292"/>
      <c r="NQ88" s="292"/>
      <c r="NR88" s="292"/>
      <c r="NS88" s="292"/>
      <c r="NT88" s="292"/>
      <c r="NU88" s="292"/>
      <c r="NV88" s="292"/>
      <c r="NW88" s="292"/>
      <c r="NX88" s="292"/>
      <c r="NY88" s="568"/>
      <c r="NZ88" s="568"/>
      <c r="OA88" s="575"/>
      <c r="OB88" s="575"/>
      <c r="OC88" s="578"/>
      <c r="OD88" s="578"/>
    </row>
    <row r="89" spans="1:394" s="20" customFormat="1" ht="10.5" customHeight="1">
      <c r="A89" s="23"/>
      <c r="B89" s="23"/>
      <c r="C89" s="29"/>
      <c r="H89" s="17"/>
      <c r="I89" s="17"/>
      <c r="J89" s="14"/>
      <c r="K89" s="17"/>
      <c r="L89" s="17"/>
      <c r="M89" s="14"/>
      <c r="N89" s="17"/>
      <c r="O89" s="17"/>
      <c r="P89" s="17" t="s">
        <v>136</v>
      </c>
      <c r="Q89" s="14"/>
      <c r="R89" s="17"/>
      <c r="T89" s="14"/>
      <c r="U89" s="17"/>
      <c r="W89" s="14"/>
      <c r="X89" s="17"/>
      <c r="Y89" s="17"/>
      <c r="Z89" s="72"/>
      <c r="AA89" s="17"/>
      <c r="AB89" s="72"/>
      <c r="AD89" s="17"/>
      <c r="AE89" s="638" t="s">
        <v>186</v>
      </c>
      <c r="AF89" s="639"/>
      <c r="AG89" s="639"/>
      <c r="AH89" s="639"/>
      <c r="AI89" s="639"/>
      <c r="AJ89" s="639"/>
      <c r="AK89" s="639"/>
      <c r="AL89" s="639"/>
      <c r="AM89" s="639"/>
      <c r="AN89" s="640"/>
      <c r="AO89" s="29"/>
      <c r="AP89" s="17"/>
      <c r="AQ89" s="22"/>
      <c r="AR89" s="17"/>
      <c r="AS89" s="17"/>
      <c r="AT89" s="17"/>
      <c r="AU89" s="17"/>
      <c r="AV89" s="52"/>
      <c r="AW89" s="52"/>
      <c r="AX89" s="52"/>
      <c r="AY89" s="52"/>
      <c r="AZ89" s="52"/>
      <c r="BA89" s="52"/>
      <c r="BB89" s="13"/>
      <c r="BM89" s="34"/>
      <c r="BO89" s="29"/>
      <c r="BP89" s="22"/>
      <c r="BQ89" s="22"/>
      <c r="BR89" s="22"/>
      <c r="BS89" s="22"/>
      <c r="BT89" s="34"/>
      <c r="BU89" s="34"/>
      <c r="BV89" s="34"/>
      <c r="BW89" s="36"/>
      <c r="BX89" s="23"/>
      <c r="BY89" s="23"/>
      <c r="BZ89" s="78"/>
      <c r="CA89" s="23"/>
      <c r="CB89" s="30"/>
      <c r="CC89" s="30"/>
      <c r="CD89" s="30"/>
      <c r="CE89" s="30"/>
      <c r="CF89" s="30"/>
      <c r="CG89" s="55" t="s">
        <v>79</v>
      </c>
      <c r="CH89" s="52"/>
      <c r="CI89" s="52">
        <v>0</v>
      </c>
      <c r="CJ89" s="543">
        <v>0</v>
      </c>
      <c r="CK89" s="52">
        <v>0</v>
      </c>
      <c r="CL89" s="52">
        <v>0</v>
      </c>
      <c r="CM89" s="52">
        <v>0</v>
      </c>
      <c r="CN89" s="602">
        <v>0</v>
      </c>
      <c r="CO89" s="209">
        <f t="shared" ref="CO89:CO95" si="6">SUM(CI89:CN89)</f>
        <v>0</v>
      </c>
      <c r="EG89" s="292"/>
      <c r="EH89" s="292"/>
      <c r="EI89" s="292"/>
      <c r="EJ89" s="292"/>
      <c r="EK89" s="292"/>
      <c r="EL89" s="292"/>
      <c r="EM89" s="292"/>
      <c r="EN89" s="292"/>
      <c r="EO89" s="292"/>
      <c r="EP89" s="292"/>
      <c r="EQ89" s="292"/>
      <c r="ER89" s="292"/>
      <c r="ES89" s="292"/>
      <c r="ET89" s="292"/>
      <c r="EU89" s="292"/>
      <c r="EV89" s="292"/>
      <c r="EW89" s="292"/>
      <c r="EX89" s="292"/>
      <c r="FA89" s="292"/>
      <c r="FB89" s="292"/>
      <c r="FC89" s="292"/>
      <c r="FD89" s="292"/>
      <c r="FE89" s="292"/>
      <c r="FF89" s="292"/>
      <c r="FG89" s="292"/>
      <c r="FH89" s="292"/>
      <c r="FI89" s="292"/>
      <c r="FJ89" s="292"/>
      <c r="FK89" s="292"/>
      <c r="FL89" s="292"/>
      <c r="FM89" s="292"/>
      <c r="FN89" s="292"/>
      <c r="FO89" s="292"/>
      <c r="FP89" s="292"/>
      <c r="FQ89" s="292"/>
      <c r="FR89" s="292"/>
      <c r="FS89" s="292"/>
      <c r="FT89" s="292"/>
      <c r="FU89" s="292"/>
      <c r="FV89" s="292"/>
      <c r="FW89" s="292"/>
      <c r="FX89" s="292"/>
      <c r="FY89" s="292"/>
      <c r="FZ89" s="292"/>
      <c r="GA89" s="292"/>
      <c r="GB89" s="292"/>
      <c r="GC89" s="292"/>
      <c r="GD89" s="292"/>
      <c r="GE89" s="292"/>
      <c r="GF89" s="292"/>
      <c r="GG89" s="292"/>
      <c r="GH89" s="292"/>
      <c r="GI89" s="292"/>
      <c r="GJ89" s="292"/>
      <c r="GK89" s="292"/>
      <c r="GL89" s="292"/>
      <c r="GM89" s="292"/>
      <c r="GN89" s="292"/>
      <c r="GO89" s="292"/>
      <c r="GP89" s="292"/>
      <c r="GQ89" s="292"/>
      <c r="GR89" s="292"/>
      <c r="GS89" s="292"/>
      <c r="GT89" s="292"/>
      <c r="GU89" s="292"/>
      <c r="GV89" s="292"/>
      <c r="GW89" s="292"/>
      <c r="GX89" s="292"/>
      <c r="GY89" s="292"/>
      <c r="GZ89" s="292"/>
      <c r="HA89" s="292"/>
      <c r="HB89" s="292"/>
      <c r="HC89" s="292"/>
      <c r="HD89" s="292"/>
      <c r="HE89" s="292"/>
      <c r="HF89" s="292"/>
      <c r="HG89" s="292"/>
      <c r="HH89" s="292"/>
      <c r="HI89" s="292"/>
      <c r="HJ89" s="292"/>
      <c r="HK89" s="292"/>
      <c r="HL89" s="292"/>
      <c r="HM89" s="292"/>
      <c r="HN89" s="292"/>
      <c r="HO89" s="292"/>
      <c r="HP89" s="292"/>
      <c r="HQ89" s="292"/>
      <c r="HR89" s="292"/>
      <c r="HS89" s="292"/>
      <c r="HT89" s="292"/>
      <c r="HU89" s="292"/>
      <c r="HV89" s="292"/>
      <c r="HW89" s="292"/>
      <c r="HX89" s="292"/>
      <c r="HY89" s="292"/>
      <c r="HZ89" s="292"/>
      <c r="IA89" s="292"/>
      <c r="IB89" s="292"/>
      <c r="IC89" s="292"/>
      <c r="ID89" s="292"/>
      <c r="IE89" s="292"/>
      <c r="IF89" s="292"/>
      <c r="IG89" s="292"/>
      <c r="IH89" s="292"/>
      <c r="II89" s="292"/>
      <c r="IJ89" s="292"/>
      <c r="IK89" s="292"/>
      <c r="IL89" s="292"/>
      <c r="IM89" s="292"/>
      <c r="IN89" s="292"/>
      <c r="IO89" s="292"/>
      <c r="IP89" s="292"/>
      <c r="IQ89" s="292"/>
      <c r="IR89" s="292"/>
      <c r="IS89" s="292"/>
      <c r="IT89" s="292"/>
      <c r="IU89" s="292"/>
      <c r="IV89" s="292"/>
      <c r="IW89" s="292"/>
      <c r="IX89" s="292"/>
      <c r="IY89" s="292"/>
      <c r="IZ89" s="292"/>
      <c r="JA89" s="292"/>
      <c r="JB89" s="292"/>
      <c r="JC89" s="292"/>
      <c r="JD89" s="292"/>
      <c r="JE89" s="292"/>
      <c r="JF89" s="292"/>
      <c r="JG89" s="292"/>
      <c r="JH89" s="292"/>
      <c r="JI89" s="292"/>
      <c r="JJ89" s="292"/>
      <c r="JK89" s="292"/>
      <c r="JL89" s="292"/>
      <c r="JM89" s="292"/>
      <c r="JN89" s="292"/>
      <c r="JO89" s="292"/>
      <c r="JP89" s="292"/>
      <c r="JQ89" s="292"/>
      <c r="JR89" s="292"/>
      <c r="JS89" s="292"/>
      <c r="JT89" s="292"/>
      <c r="JU89" s="292"/>
      <c r="JV89" s="292"/>
      <c r="JW89" s="292"/>
      <c r="JX89" s="292"/>
      <c r="JY89" s="292"/>
      <c r="JZ89" s="292"/>
      <c r="KA89" s="292"/>
      <c r="KB89" s="292"/>
      <c r="KC89" s="292"/>
      <c r="KD89" s="292"/>
      <c r="KE89" s="292"/>
      <c r="KF89" s="292"/>
      <c r="KG89" s="292"/>
      <c r="KH89" s="292"/>
      <c r="KI89" s="292"/>
      <c r="KJ89" s="292"/>
      <c r="KK89" s="292"/>
      <c r="KL89" s="292"/>
      <c r="KM89" s="292"/>
      <c r="KN89" s="292"/>
      <c r="KO89" s="292"/>
      <c r="KP89" s="292"/>
      <c r="KQ89" s="292"/>
      <c r="KR89" s="292"/>
      <c r="KS89" s="292"/>
      <c r="KT89" s="292"/>
      <c r="KU89" s="292"/>
      <c r="KV89" s="292"/>
      <c r="KW89" s="292"/>
      <c r="KX89" s="292"/>
      <c r="KY89" s="292"/>
      <c r="KZ89" s="292"/>
      <c r="LA89" s="292"/>
      <c r="LB89" s="292"/>
      <c r="LC89" s="292"/>
      <c r="LD89" s="292"/>
      <c r="LE89" s="292"/>
      <c r="LF89" s="292"/>
      <c r="LG89" s="292"/>
      <c r="LH89" s="292"/>
      <c r="LI89" s="292"/>
      <c r="LJ89" s="292"/>
      <c r="LK89" s="292"/>
      <c r="LL89" s="292"/>
      <c r="LM89" s="292"/>
      <c r="LN89" s="292"/>
      <c r="LO89" s="292"/>
      <c r="LP89" s="292"/>
      <c r="LQ89" s="292"/>
      <c r="LR89" s="292"/>
      <c r="LS89" s="292"/>
      <c r="LT89" s="292"/>
      <c r="LU89" s="292"/>
      <c r="LV89" s="292"/>
      <c r="LW89" s="292"/>
      <c r="LX89" s="292"/>
      <c r="LY89" s="292"/>
      <c r="LZ89" s="292"/>
      <c r="MA89" s="292"/>
      <c r="MB89" s="292"/>
      <c r="MC89" s="292"/>
      <c r="MD89" s="292"/>
      <c r="ME89" s="292"/>
      <c r="MF89" s="292"/>
      <c r="MG89" s="292"/>
      <c r="MH89" s="292"/>
      <c r="MI89" s="292"/>
      <c r="MJ89" s="292"/>
      <c r="MK89" s="292"/>
      <c r="ML89" s="292"/>
      <c r="MM89" s="292"/>
      <c r="MN89" s="292"/>
      <c r="MO89" s="292"/>
      <c r="MP89" s="292"/>
      <c r="MQ89" s="292"/>
      <c r="MR89" s="292"/>
      <c r="MS89" s="292"/>
      <c r="MT89" s="292"/>
      <c r="MU89" s="292"/>
      <c r="MV89" s="292"/>
      <c r="MW89" s="292"/>
      <c r="MX89" s="292"/>
      <c r="MY89" s="292"/>
      <c r="MZ89" s="292"/>
      <c r="NA89" s="292"/>
      <c r="NB89" s="292"/>
      <c r="NC89" s="292"/>
      <c r="ND89" s="292"/>
      <c r="NE89" s="292"/>
      <c r="NF89" s="292"/>
      <c r="NG89" s="292"/>
      <c r="NH89" s="292"/>
      <c r="NI89" s="292"/>
      <c r="NJ89" s="292"/>
      <c r="NK89" s="292"/>
      <c r="NL89" s="292"/>
      <c r="NM89" s="292"/>
      <c r="NN89" s="292"/>
      <c r="NO89" s="292"/>
      <c r="NP89" s="292"/>
      <c r="NQ89" s="292"/>
      <c r="NR89" s="292"/>
      <c r="NS89" s="292"/>
      <c r="NT89" s="292"/>
      <c r="NU89" s="292"/>
      <c r="NV89" s="292"/>
      <c r="NW89" s="292"/>
      <c r="NX89" s="292"/>
      <c r="NY89" s="568"/>
      <c r="NZ89" s="568"/>
      <c r="OA89" s="575"/>
      <c r="OB89" s="575"/>
      <c r="OC89" s="578"/>
      <c r="OD89" s="578"/>
    </row>
    <row r="90" spans="1:394" s="20" customFormat="1" ht="10.5" customHeight="1" thickBot="1">
      <c r="A90" s="23"/>
      <c r="B90" s="23"/>
      <c r="C90" s="29"/>
      <c r="H90" s="17"/>
      <c r="I90" s="17"/>
      <c r="K90" s="17"/>
      <c r="L90" s="17"/>
      <c r="O90" s="17"/>
      <c r="P90" s="17" t="s">
        <v>167</v>
      </c>
      <c r="AE90" s="641"/>
      <c r="AF90" s="642"/>
      <c r="AG90" s="642"/>
      <c r="AH90" s="642"/>
      <c r="AI90" s="642"/>
      <c r="AJ90" s="642"/>
      <c r="AK90" s="642"/>
      <c r="AL90" s="642"/>
      <c r="AM90" s="642"/>
      <c r="AN90" s="643"/>
      <c r="AO90" s="29"/>
      <c r="AP90" s="17"/>
      <c r="AQ90" s="17"/>
      <c r="AR90" s="17"/>
      <c r="AS90" s="17"/>
      <c r="AT90" s="17"/>
      <c r="AU90" s="17"/>
      <c r="AV90" s="17"/>
      <c r="AW90" s="17"/>
      <c r="AX90" s="17"/>
      <c r="AY90" s="17"/>
      <c r="AZ90" s="17"/>
      <c r="BA90" s="17"/>
      <c r="BB90" s="13"/>
      <c r="BM90" s="34"/>
      <c r="BO90" s="29"/>
      <c r="BP90" s="22"/>
      <c r="BQ90" s="22"/>
      <c r="BR90" s="22"/>
      <c r="BS90" s="22"/>
      <c r="BT90" s="34"/>
      <c r="BU90" s="34"/>
      <c r="BV90" s="34"/>
      <c r="BW90" s="36"/>
      <c r="BX90" s="23"/>
      <c r="BY90" s="23"/>
      <c r="BZ90" s="78"/>
      <c r="CA90" s="23"/>
      <c r="CB90" s="30"/>
      <c r="CC90" s="30"/>
      <c r="CD90" s="30"/>
      <c r="CE90" s="30"/>
      <c r="CF90" s="30"/>
      <c r="CG90" s="55" t="s">
        <v>53</v>
      </c>
      <c r="CH90" s="52"/>
      <c r="CI90" s="52">
        <v>0</v>
      </c>
      <c r="CJ90" s="52">
        <v>0</v>
      </c>
      <c r="CK90" s="52">
        <v>0</v>
      </c>
      <c r="CL90" s="52">
        <v>0</v>
      </c>
      <c r="CM90" s="52">
        <v>0</v>
      </c>
      <c r="CN90" s="48">
        <v>0</v>
      </c>
      <c r="CO90" s="209">
        <f t="shared" si="6"/>
        <v>0</v>
      </c>
      <c r="EG90" s="292"/>
      <c r="EH90" s="292"/>
      <c r="EI90" s="292"/>
      <c r="EJ90" s="292"/>
      <c r="EK90" s="292"/>
      <c r="EL90" s="292"/>
      <c r="EM90" s="292"/>
      <c r="EN90" s="292"/>
      <c r="EO90" s="292"/>
      <c r="EP90" s="292"/>
      <c r="EQ90" s="292"/>
      <c r="ER90" s="292"/>
      <c r="ES90" s="292"/>
      <c r="ET90" s="292"/>
      <c r="EU90" s="292"/>
      <c r="EV90" s="292"/>
      <c r="EW90" s="292"/>
      <c r="EX90" s="292"/>
      <c r="FA90" s="292"/>
      <c r="FB90" s="292"/>
      <c r="FC90" s="292"/>
      <c r="FD90" s="292"/>
      <c r="FE90" s="292"/>
      <c r="FF90" s="292"/>
      <c r="FG90" s="292"/>
      <c r="FH90" s="292"/>
      <c r="FI90" s="292"/>
      <c r="FJ90" s="292"/>
      <c r="FK90" s="292"/>
      <c r="FL90" s="292"/>
      <c r="FM90" s="292"/>
      <c r="FN90" s="292"/>
      <c r="FO90" s="292"/>
      <c r="FP90" s="292"/>
      <c r="FQ90" s="292"/>
      <c r="FR90" s="292"/>
      <c r="FS90" s="292"/>
      <c r="FT90" s="292"/>
      <c r="FU90" s="292"/>
      <c r="FV90" s="292"/>
      <c r="FW90" s="292"/>
      <c r="FX90" s="292"/>
      <c r="FY90" s="292"/>
      <c r="FZ90" s="292"/>
      <c r="GA90" s="292"/>
      <c r="GB90" s="292"/>
      <c r="GC90" s="292"/>
      <c r="GD90" s="292"/>
      <c r="GE90" s="292"/>
      <c r="GF90" s="292"/>
      <c r="GG90" s="292"/>
      <c r="GH90" s="292"/>
      <c r="GI90" s="292"/>
      <c r="GJ90" s="292"/>
      <c r="GK90" s="292"/>
      <c r="GL90" s="292"/>
      <c r="GM90" s="292"/>
      <c r="GN90" s="292"/>
      <c r="GO90" s="292"/>
      <c r="GP90" s="292"/>
      <c r="GQ90" s="292"/>
      <c r="GR90" s="292"/>
      <c r="GS90" s="292"/>
      <c r="GT90" s="292"/>
      <c r="GU90" s="292"/>
      <c r="GV90" s="292"/>
      <c r="GW90" s="292"/>
      <c r="GX90" s="292"/>
      <c r="GY90" s="292"/>
      <c r="GZ90" s="292"/>
      <c r="HA90" s="292"/>
      <c r="HB90" s="292"/>
      <c r="HC90" s="292"/>
      <c r="HD90" s="292"/>
      <c r="HE90" s="292"/>
      <c r="HF90" s="292"/>
      <c r="HG90" s="292"/>
      <c r="HH90" s="292"/>
      <c r="HI90" s="292"/>
      <c r="HJ90" s="292"/>
      <c r="HK90" s="292"/>
      <c r="HL90" s="292"/>
      <c r="HM90" s="292"/>
      <c r="HN90" s="292"/>
      <c r="HO90" s="292"/>
      <c r="HP90" s="292"/>
      <c r="HQ90" s="292"/>
      <c r="HR90" s="292"/>
      <c r="HS90" s="292"/>
      <c r="HT90" s="292"/>
      <c r="HU90" s="292"/>
      <c r="HV90" s="292"/>
      <c r="HW90" s="292"/>
      <c r="HX90" s="292"/>
      <c r="HY90" s="292"/>
      <c r="HZ90" s="292"/>
      <c r="IA90" s="292"/>
      <c r="IB90" s="292"/>
      <c r="IC90" s="292"/>
      <c r="ID90" s="292"/>
      <c r="IE90" s="292"/>
      <c r="IF90" s="292"/>
      <c r="IG90" s="292"/>
      <c r="IH90" s="292"/>
      <c r="II90" s="292"/>
      <c r="IJ90" s="292"/>
      <c r="IK90" s="292"/>
      <c r="IL90" s="292"/>
      <c r="IM90" s="292"/>
      <c r="IN90" s="292"/>
      <c r="IO90" s="292"/>
      <c r="IP90" s="292"/>
      <c r="IQ90" s="292"/>
      <c r="IR90" s="292"/>
      <c r="IS90" s="292"/>
      <c r="IT90" s="292"/>
      <c r="IU90" s="292"/>
      <c r="IV90" s="292"/>
      <c r="IW90" s="292"/>
      <c r="IX90" s="292"/>
      <c r="IY90" s="292"/>
      <c r="IZ90" s="292"/>
      <c r="JA90" s="292"/>
      <c r="JB90" s="292"/>
      <c r="JC90" s="292"/>
      <c r="JD90" s="292"/>
      <c r="JE90" s="292"/>
      <c r="JF90" s="292"/>
      <c r="JG90" s="292"/>
      <c r="JH90" s="292"/>
      <c r="JI90" s="292"/>
      <c r="JJ90" s="292"/>
      <c r="JK90" s="292"/>
      <c r="JL90" s="292"/>
      <c r="JM90" s="292"/>
      <c r="JN90" s="292"/>
      <c r="JO90" s="292"/>
      <c r="JP90" s="292"/>
      <c r="JQ90" s="292"/>
      <c r="JR90" s="292"/>
      <c r="JS90" s="292"/>
      <c r="JT90" s="292"/>
      <c r="JU90" s="292"/>
      <c r="JV90" s="292"/>
      <c r="JW90" s="292"/>
      <c r="JX90" s="292"/>
      <c r="JY90" s="292"/>
      <c r="JZ90" s="292"/>
      <c r="KA90" s="292"/>
      <c r="KB90" s="292"/>
      <c r="KC90" s="292"/>
      <c r="KD90" s="292"/>
      <c r="KE90" s="292"/>
      <c r="KF90" s="292"/>
      <c r="KG90" s="292"/>
      <c r="KH90" s="292"/>
      <c r="KI90" s="292"/>
      <c r="KJ90" s="292"/>
      <c r="KK90" s="292"/>
      <c r="KL90" s="292"/>
      <c r="KM90" s="292"/>
      <c r="KN90" s="292"/>
      <c r="KO90" s="292"/>
      <c r="KP90" s="292"/>
      <c r="KQ90" s="292"/>
      <c r="KR90" s="292"/>
      <c r="KS90" s="292"/>
      <c r="KT90" s="292"/>
      <c r="KU90" s="292"/>
      <c r="KV90" s="292"/>
      <c r="KW90" s="292"/>
      <c r="KX90" s="292"/>
      <c r="KY90" s="292"/>
      <c r="KZ90" s="292"/>
      <c r="LA90" s="292"/>
      <c r="LB90" s="292"/>
      <c r="LC90" s="292"/>
      <c r="LD90" s="292"/>
      <c r="LE90" s="292"/>
      <c r="LF90" s="292"/>
      <c r="LG90" s="292"/>
      <c r="LH90" s="292"/>
      <c r="LI90" s="292"/>
      <c r="LJ90" s="292"/>
      <c r="LK90" s="292"/>
      <c r="LL90" s="292"/>
      <c r="LM90" s="292"/>
      <c r="LN90" s="292"/>
      <c r="LO90" s="292"/>
      <c r="LP90" s="292"/>
      <c r="LQ90" s="292"/>
      <c r="LR90" s="292"/>
      <c r="LS90" s="292"/>
      <c r="LT90" s="292"/>
      <c r="LU90" s="292"/>
      <c r="LV90" s="292"/>
      <c r="LW90" s="292"/>
      <c r="LX90" s="292"/>
      <c r="LY90" s="292"/>
      <c r="LZ90" s="292"/>
      <c r="MA90" s="292"/>
      <c r="MB90" s="292"/>
      <c r="MC90" s="292"/>
      <c r="MD90" s="292"/>
      <c r="ME90" s="292"/>
      <c r="MF90" s="292"/>
      <c r="MG90" s="292"/>
      <c r="MH90" s="292"/>
      <c r="MI90" s="292"/>
      <c r="MJ90" s="292"/>
      <c r="MK90" s="292"/>
      <c r="ML90" s="292"/>
      <c r="MM90" s="292"/>
      <c r="MN90" s="292"/>
      <c r="MO90" s="292"/>
      <c r="MP90" s="292"/>
      <c r="MQ90" s="292"/>
      <c r="MR90" s="292"/>
      <c r="MS90" s="292"/>
      <c r="MT90" s="292"/>
      <c r="MU90" s="292"/>
      <c r="MV90" s="292"/>
      <c r="MW90" s="292"/>
      <c r="MX90" s="292"/>
      <c r="MY90" s="292"/>
      <c r="MZ90" s="292"/>
      <c r="NA90" s="292"/>
      <c r="NB90" s="292"/>
      <c r="NC90" s="292"/>
      <c r="ND90" s="292"/>
      <c r="NE90" s="292"/>
      <c r="NF90" s="292"/>
      <c r="NG90" s="292"/>
      <c r="NH90" s="292"/>
      <c r="NI90" s="292"/>
      <c r="NJ90" s="292"/>
      <c r="NK90" s="292"/>
      <c r="NL90" s="292"/>
      <c r="NM90" s="292"/>
      <c r="NN90" s="292"/>
      <c r="NO90" s="292"/>
      <c r="NP90" s="292"/>
      <c r="NQ90" s="292"/>
      <c r="NR90" s="292"/>
      <c r="NS90" s="292"/>
      <c r="NT90" s="292"/>
      <c r="NU90" s="292"/>
      <c r="NV90" s="292"/>
      <c r="NW90" s="292"/>
      <c r="NX90" s="292"/>
      <c r="NY90" s="568"/>
      <c r="NZ90" s="568"/>
      <c r="OA90" s="575"/>
      <c r="OB90" s="575"/>
      <c r="OC90" s="578"/>
      <c r="OD90" s="578"/>
    </row>
    <row r="91" spans="1:394" s="20" customFormat="1" ht="10.5" customHeight="1">
      <c r="A91" s="23"/>
      <c r="B91" s="23"/>
      <c r="C91" s="29"/>
      <c r="H91" s="17"/>
      <c r="K91" s="17"/>
      <c r="L91" s="17"/>
      <c r="O91" s="17"/>
      <c r="AL91" s="29"/>
      <c r="AM91" s="23"/>
      <c r="AN91" s="29"/>
      <c r="AO91" s="29"/>
      <c r="BB91" s="13"/>
      <c r="BM91" s="34"/>
      <c r="BO91" s="29"/>
      <c r="BP91" s="22"/>
      <c r="BQ91" s="22"/>
      <c r="BR91" s="22"/>
      <c r="BS91" s="22"/>
      <c r="BT91" s="34"/>
      <c r="BU91" s="34"/>
      <c r="BV91" s="34"/>
      <c r="BW91" s="36"/>
      <c r="BX91" s="23"/>
      <c r="BY91" s="23"/>
      <c r="BZ91" s="78"/>
      <c r="CA91" s="23"/>
      <c r="CB91" s="30"/>
      <c r="CC91" s="30"/>
      <c r="CD91" s="30"/>
      <c r="CE91" s="30"/>
      <c r="CF91" s="30"/>
      <c r="CG91" s="55" t="s">
        <v>60</v>
      </c>
      <c r="CH91" s="52"/>
      <c r="CI91" s="52">
        <v>0</v>
      </c>
      <c r="CJ91" s="52">
        <v>0</v>
      </c>
      <c r="CK91" s="52">
        <v>0</v>
      </c>
      <c r="CL91" s="52">
        <v>1</v>
      </c>
      <c r="CM91" s="52">
        <v>0.6</v>
      </c>
      <c r="CN91" s="48">
        <v>0</v>
      </c>
      <c r="CO91" s="209">
        <f t="shared" si="6"/>
        <v>1.6</v>
      </c>
      <c r="EG91" s="292"/>
      <c r="EH91" s="292"/>
      <c r="EI91" s="292"/>
      <c r="EJ91" s="292"/>
      <c r="EK91" s="292"/>
      <c r="EL91" s="292"/>
      <c r="EM91" s="292"/>
      <c r="EN91" s="292"/>
      <c r="EO91" s="292"/>
      <c r="EP91" s="292"/>
      <c r="EQ91" s="292"/>
      <c r="ER91" s="292"/>
      <c r="ES91" s="292"/>
      <c r="ET91" s="292"/>
      <c r="EU91" s="292"/>
      <c r="EV91" s="292"/>
      <c r="EW91" s="292"/>
      <c r="EX91" s="292"/>
      <c r="FA91" s="292"/>
      <c r="FB91" s="292"/>
      <c r="FC91" s="292"/>
      <c r="FD91" s="292"/>
      <c r="FE91" s="292"/>
      <c r="FF91" s="292"/>
      <c r="FG91" s="292"/>
      <c r="FH91" s="292"/>
      <c r="FI91" s="292"/>
      <c r="FJ91" s="292"/>
      <c r="FK91" s="292"/>
      <c r="FL91" s="292"/>
      <c r="FM91" s="292"/>
      <c r="FN91" s="292"/>
      <c r="FO91" s="292"/>
      <c r="FP91" s="292"/>
      <c r="FQ91" s="292"/>
      <c r="FR91" s="292"/>
      <c r="FS91" s="292"/>
      <c r="FT91" s="292"/>
      <c r="FU91" s="292"/>
      <c r="FV91" s="292"/>
      <c r="FW91" s="292"/>
      <c r="FX91" s="292"/>
      <c r="FY91" s="292"/>
      <c r="FZ91" s="292"/>
      <c r="GA91" s="292"/>
      <c r="GB91" s="292"/>
      <c r="GC91" s="292"/>
      <c r="GD91" s="292"/>
      <c r="GE91" s="292"/>
      <c r="GF91" s="292"/>
      <c r="GG91" s="292"/>
      <c r="GH91" s="292"/>
      <c r="GI91" s="292"/>
      <c r="GJ91" s="292"/>
      <c r="GK91" s="292"/>
      <c r="GL91" s="292"/>
      <c r="GM91" s="292"/>
      <c r="GN91" s="292"/>
      <c r="GO91" s="292"/>
      <c r="GP91" s="292"/>
      <c r="GQ91" s="292"/>
      <c r="GR91" s="292"/>
      <c r="GS91" s="292"/>
      <c r="GT91" s="292"/>
      <c r="GU91" s="292"/>
      <c r="GV91" s="292"/>
      <c r="GW91" s="292"/>
      <c r="GX91" s="292"/>
      <c r="GY91" s="292"/>
      <c r="GZ91" s="292"/>
      <c r="HA91" s="292"/>
      <c r="HB91" s="292"/>
      <c r="HC91" s="292"/>
      <c r="HD91" s="292"/>
      <c r="HE91" s="292"/>
      <c r="HF91" s="292"/>
      <c r="HG91" s="292"/>
      <c r="HH91" s="292"/>
      <c r="HI91" s="292"/>
      <c r="HJ91" s="292"/>
      <c r="HK91" s="292"/>
      <c r="HL91" s="292"/>
      <c r="HM91" s="292"/>
      <c r="HN91" s="292"/>
      <c r="HO91" s="292"/>
      <c r="HP91" s="292"/>
      <c r="HQ91" s="292"/>
      <c r="HR91" s="292"/>
      <c r="HS91" s="292"/>
      <c r="HT91" s="292"/>
      <c r="HU91" s="292"/>
      <c r="HV91" s="292"/>
      <c r="HW91" s="292"/>
      <c r="HX91" s="292"/>
      <c r="HY91" s="292"/>
      <c r="HZ91" s="292"/>
      <c r="IA91" s="292"/>
      <c r="IB91" s="292"/>
      <c r="IC91" s="292"/>
      <c r="ID91" s="292"/>
      <c r="IE91" s="292"/>
      <c r="IF91" s="292"/>
      <c r="IG91" s="292"/>
      <c r="IH91" s="292"/>
      <c r="II91" s="292"/>
      <c r="IJ91" s="292"/>
      <c r="IK91" s="292"/>
      <c r="IL91" s="292"/>
      <c r="IM91" s="292"/>
      <c r="IN91" s="292"/>
      <c r="IO91" s="292"/>
      <c r="IP91" s="292"/>
      <c r="IQ91" s="292"/>
      <c r="IR91" s="292"/>
      <c r="IS91" s="292"/>
      <c r="IT91" s="292"/>
      <c r="IU91" s="292"/>
      <c r="IV91" s="292"/>
      <c r="IW91" s="292"/>
      <c r="IX91" s="292"/>
      <c r="IY91" s="292"/>
      <c r="IZ91" s="292"/>
      <c r="JA91" s="292"/>
      <c r="JB91" s="292"/>
      <c r="JC91" s="292"/>
      <c r="JD91" s="292"/>
      <c r="JE91" s="292"/>
      <c r="JF91" s="292"/>
      <c r="JG91" s="292"/>
      <c r="JH91" s="292"/>
      <c r="JI91" s="292"/>
      <c r="JJ91" s="292"/>
      <c r="JK91" s="292"/>
      <c r="JL91" s="292"/>
      <c r="JM91" s="292"/>
      <c r="JN91" s="292"/>
      <c r="JO91" s="292"/>
      <c r="JP91" s="292"/>
      <c r="JQ91" s="292"/>
      <c r="JR91" s="292"/>
      <c r="JS91" s="292"/>
      <c r="JT91" s="292"/>
      <c r="JU91" s="292"/>
      <c r="JV91" s="292"/>
      <c r="JW91" s="292"/>
      <c r="JX91" s="292"/>
      <c r="JY91" s="292"/>
      <c r="JZ91" s="292"/>
      <c r="KA91" s="292"/>
      <c r="KB91" s="292"/>
      <c r="KC91" s="292"/>
      <c r="KD91" s="292"/>
      <c r="KE91" s="292"/>
      <c r="KF91" s="292"/>
      <c r="KG91" s="292"/>
      <c r="KH91" s="292"/>
      <c r="KI91" s="292"/>
      <c r="KJ91" s="292"/>
      <c r="KK91" s="292"/>
      <c r="KL91" s="292"/>
      <c r="KM91" s="292"/>
      <c r="KN91" s="292"/>
      <c r="KO91" s="292"/>
      <c r="KP91" s="292"/>
      <c r="KQ91" s="292"/>
      <c r="KR91" s="292"/>
      <c r="KS91" s="292"/>
      <c r="KT91" s="292"/>
      <c r="KU91" s="292"/>
      <c r="KV91" s="292"/>
      <c r="KW91" s="292"/>
      <c r="KX91" s="292"/>
      <c r="KY91" s="292"/>
      <c r="KZ91" s="292"/>
      <c r="LA91" s="292"/>
      <c r="LB91" s="292"/>
      <c r="LC91" s="292"/>
      <c r="LD91" s="292"/>
      <c r="LE91" s="292"/>
      <c r="LF91" s="292"/>
      <c r="LG91" s="292"/>
      <c r="LH91" s="292"/>
      <c r="LI91" s="292"/>
      <c r="LJ91" s="292"/>
      <c r="LK91" s="292"/>
      <c r="LL91" s="292"/>
      <c r="LM91" s="292"/>
      <c r="LN91" s="292"/>
      <c r="LO91" s="292"/>
      <c r="LP91" s="292"/>
      <c r="LQ91" s="292"/>
      <c r="LR91" s="292"/>
      <c r="LS91" s="292"/>
      <c r="LT91" s="292"/>
      <c r="LU91" s="292"/>
      <c r="LV91" s="292"/>
      <c r="LW91" s="292"/>
      <c r="LX91" s="292"/>
      <c r="LY91" s="292"/>
      <c r="LZ91" s="292"/>
      <c r="MA91" s="292"/>
      <c r="MB91" s="292"/>
      <c r="MC91" s="292"/>
      <c r="MD91" s="292"/>
      <c r="ME91" s="292"/>
      <c r="MF91" s="292"/>
      <c r="MG91" s="292"/>
      <c r="MH91" s="292"/>
      <c r="MI91" s="292"/>
      <c r="MJ91" s="292"/>
      <c r="MK91" s="292"/>
      <c r="ML91" s="292"/>
      <c r="MM91" s="292"/>
      <c r="MN91" s="292"/>
      <c r="MO91" s="292"/>
      <c r="MP91" s="292"/>
      <c r="MQ91" s="292"/>
      <c r="MR91" s="292"/>
      <c r="MS91" s="292"/>
      <c r="MT91" s="292"/>
      <c r="MU91" s="292"/>
      <c r="MV91" s="292"/>
      <c r="MW91" s="292"/>
      <c r="MX91" s="292"/>
      <c r="MY91" s="292"/>
      <c r="MZ91" s="292"/>
      <c r="NA91" s="292"/>
      <c r="NB91" s="292"/>
      <c r="NC91" s="292"/>
      <c r="ND91" s="292"/>
      <c r="NE91" s="292"/>
      <c r="NF91" s="292"/>
      <c r="NG91" s="292"/>
      <c r="NH91" s="292"/>
      <c r="NI91" s="292"/>
      <c r="NJ91" s="292"/>
      <c r="NK91" s="292"/>
      <c r="NL91" s="292"/>
      <c r="NM91" s="292"/>
      <c r="NN91" s="292"/>
      <c r="NO91" s="292"/>
      <c r="NP91" s="292"/>
      <c r="NQ91" s="292"/>
      <c r="NR91" s="292"/>
      <c r="NS91" s="292"/>
      <c r="NT91" s="292"/>
      <c r="NU91" s="292"/>
      <c r="NV91" s="292"/>
      <c r="NW91" s="292"/>
      <c r="NX91" s="292"/>
      <c r="NY91" s="568"/>
      <c r="NZ91" s="568"/>
      <c r="OA91" s="575"/>
      <c r="OB91" s="575"/>
      <c r="OC91" s="578"/>
      <c r="OD91" s="578"/>
    </row>
    <row r="92" spans="1:394" s="20" customFormat="1" ht="10.5" customHeight="1">
      <c r="A92" s="13"/>
      <c r="B92" s="13"/>
      <c r="C92" s="29"/>
      <c r="H92" s="17"/>
      <c r="K92" s="17"/>
      <c r="L92" s="17"/>
      <c r="O92" s="17"/>
      <c r="AL92" s="29"/>
      <c r="AM92" s="23"/>
      <c r="AN92" s="29"/>
      <c r="AO92" s="29"/>
      <c r="AP92" s="22"/>
      <c r="AQ92" s="22"/>
      <c r="AR92" s="29"/>
      <c r="AS92" s="29"/>
      <c r="AT92" s="49"/>
      <c r="AU92" s="49"/>
      <c r="AV92" s="52"/>
      <c r="AW92" s="52"/>
      <c r="AX92" s="52"/>
      <c r="AY92" s="52"/>
      <c r="AZ92" s="52"/>
      <c r="BA92" s="52"/>
      <c r="BB92" s="13"/>
      <c r="BM92" s="29"/>
      <c r="BN92" s="34"/>
      <c r="BO92" s="34"/>
      <c r="BP92" s="34"/>
      <c r="BQ92" s="22"/>
      <c r="BR92" s="23"/>
      <c r="BS92" s="23"/>
      <c r="BT92" s="29"/>
      <c r="BU92" s="29"/>
      <c r="BV92" s="29"/>
      <c r="BW92" s="23"/>
      <c r="BX92" s="22"/>
      <c r="BY92" s="22"/>
      <c r="BZ92" s="78"/>
      <c r="CA92" s="23"/>
      <c r="CB92" s="30"/>
      <c r="CC92" s="30"/>
      <c r="CD92" s="30"/>
      <c r="CE92" s="30"/>
      <c r="CF92" s="30"/>
      <c r="CG92" s="55" t="s">
        <v>219</v>
      </c>
      <c r="CH92" s="52"/>
      <c r="CI92" s="52">
        <v>0</v>
      </c>
      <c r="CJ92" s="52">
        <v>0</v>
      </c>
      <c r="CK92" s="52">
        <v>0</v>
      </c>
      <c r="CL92" s="52">
        <v>0</v>
      </c>
      <c r="CM92" s="52">
        <v>0</v>
      </c>
      <c r="CN92" s="48">
        <v>0</v>
      </c>
      <c r="CO92" s="209">
        <f t="shared" si="6"/>
        <v>0</v>
      </c>
      <c r="EG92" s="292"/>
      <c r="EH92" s="292"/>
      <c r="EI92" s="292"/>
      <c r="EJ92" s="292"/>
      <c r="EK92" s="292"/>
      <c r="EL92" s="292"/>
      <c r="EM92" s="292"/>
      <c r="EN92" s="292"/>
      <c r="EO92" s="292"/>
      <c r="EP92" s="292"/>
      <c r="EQ92" s="292"/>
      <c r="ER92" s="292"/>
      <c r="ES92" s="292"/>
      <c r="ET92" s="292"/>
      <c r="EU92" s="292"/>
      <c r="EV92" s="292"/>
      <c r="EW92" s="292"/>
      <c r="EX92" s="292"/>
      <c r="FA92" s="292"/>
      <c r="FB92" s="292"/>
      <c r="FC92" s="292"/>
      <c r="FD92" s="292"/>
      <c r="FE92" s="292"/>
      <c r="FF92" s="292"/>
      <c r="FG92" s="292"/>
      <c r="FH92" s="292"/>
      <c r="FI92" s="292"/>
      <c r="FJ92" s="292"/>
      <c r="FK92" s="292"/>
      <c r="FL92" s="292"/>
      <c r="FM92" s="292"/>
      <c r="FN92" s="292"/>
      <c r="FO92" s="292"/>
      <c r="FP92" s="292"/>
      <c r="FQ92" s="292"/>
      <c r="FR92" s="292"/>
      <c r="FS92" s="292"/>
      <c r="FT92" s="292"/>
      <c r="FU92" s="292"/>
      <c r="FV92" s="292"/>
      <c r="FW92" s="292"/>
      <c r="FX92" s="292"/>
      <c r="FY92" s="292"/>
      <c r="FZ92" s="292"/>
      <c r="GA92" s="292"/>
      <c r="GB92" s="292"/>
      <c r="GC92" s="292"/>
      <c r="GD92" s="292"/>
      <c r="GE92" s="292"/>
      <c r="GF92" s="292"/>
      <c r="GG92" s="292"/>
      <c r="GH92" s="292"/>
      <c r="GI92" s="292"/>
      <c r="GJ92" s="292"/>
      <c r="GK92" s="292"/>
      <c r="GL92" s="292"/>
      <c r="GM92" s="292"/>
      <c r="GN92" s="292"/>
      <c r="GO92" s="292"/>
      <c r="GP92" s="292"/>
      <c r="GQ92" s="292"/>
      <c r="GR92" s="292"/>
      <c r="GS92" s="292"/>
      <c r="GT92" s="292"/>
      <c r="GU92" s="292"/>
      <c r="GV92" s="292"/>
      <c r="GW92" s="292"/>
      <c r="GX92" s="292"/>
      <c r="GY92" s="292"/>
      <c r="GZ92" s="292"/>
      <c r="HA92" s="292"/>
      <c r="HB92" s="292"/>
      <c r="HC92" s="292"/>
      <c r="HD92" s="292"/>
      <c r="HE92" s="292"/>
      <c r="HF92" s="292"/>
      <c r="HG92" s="292"/>
      <c r="HH92" s="292"/>
      <c r="HI92" s="292"/>
      <c r="HJ92" s="292"/>
      <c r="HK92" s="292"/>
      <c r="HL92" s="292"/>
      <c r="HM92" s="292"/>
      <c r="HN92" s="292"/>
      <c r="HO92" s="292"/>
      <c r="HP92" s="292"/>
      <c r="HQ92" s="292"/>
      <c r="HR92" s="292"/>
      <c r="HS92" s="292"/>
      <c r="HT92" s="292"/>
      <c r="HU92" s="292"/>
      <c r="HV92" s="292"/>
      <c r="HW92" s="292"/>
      <c r="HX92" s="292"/>
      <c r="HY92" s="292"/>
      <c r="HZ92" s="292"/>
      <c r="IA92" s="292"/>
      <c r="IB92" s="292"/>
      <c r="IC92" s="292"/>
      <c r="ID92" s="292"/>
      <c r="IE92" s="292"/>
      <c r="IF92" s="292"/>
      <c r="IG92" s="292"/>
      <c r="IH92" s="292"/>
      <c r="II92" s="292"/>
      <c r="IJ92" s="292"/>
      <c r="IK92" s="292"/>
      <c r="IL92" s="292"/>
      <c r="IM92" s="292"/>
      <c r="IN92" s="292"/>
      <c r="IO92" s="292"/>
      <c r="IP92" s="292"/>
      <c r="IQ92" s="292"/>
      <c r="IR92" s="292"/>
      <c r="IS92" s="292"/>
      <c r="IT92" s="292"/>
      <c r="IU92" s="292"/>
      <c r="IV92" s="292"/>
      <c r="IW92" s="292"/>
      <c r="IX92" s="292"/>
      <c r="IY92" s="292"/>
      <c r="IZ92" s="292"/>
      <c r="JA92" s="292"/>
      <c r="JB92" s="292"/>
      <c r="JC92" s="292"/>
      <c r="JD92" s="292"/>
      <c r="JE92" s="292"/>
      <c r="JF92" s="292"/>
      <c r="JG92" s="292"/>
      <c r="JH92" s="292"/>
      <c r="JI92" s="292"/>
      <c r="JJ92" s="292"/>
      <c r="JK92" s="292"/>
      <c r="JL92" s="292"/>
      <c r="JM92" s="292"/>
      <c r="JN92" s="292"/>
      <c r="JO92" s="292"/>
      <c r="JP92" s="292"/>
      <c r="JQ92" s="292"/>
      <c r="JR92" s="292"/>
      <c r="JS92" s="292"/>
      <c r="JT92" s="292"/>
      <c r="JU92" s="292"/>
      <c r="JV92" s="292"/>
      <c r="JW92" s="292"/>
      <c r="JX92" s="292"/>
      <c r="JY92" s="292"/>
      <c r="JZ92" s="292"/>
      <c r="KA92" s="292"/>
      <c r="KB92" s="292"/>
      <c r="KC92" s="292"/>
      <c r="KD92" s="292"/>
      <c r="KE92" s="292"/>
      <c r="KF92" s="292"/>
      <c r="KG92" s="292"/>
      <c r="KH92" s="292"/>
      <c r="KI92" s="292"/>
      <c r="KJ92" s="292"/>
      <c r="KK92" s="292"/>
      <c r="KL92" s="292"/>
      <c r="KM92" s="292"/>
      <c r="KN92" s="292"/>
      <c r="KO92" s="292"/>
      <c r="KP92" s="292"/>
      <c r="KQ92" s="292"/>
      <c r="KR92" s="292"/>
      <c r="KS92" s="292"/>
      <c r="KT92" s="292"/>
      <c r="KU92" s="292"/>
      <c r="KV92" s="292"/>
      <c r="KW92" s="292"/>
      <c r="KX92" s="292"/>
      <c r="KY92" s="292"/>
      <c r="KZ92" s="292"/>
      <c r="LA92" s="292"/>
      <c r="LB92" s="292"/>
      <c r="LC92" s="292"/>
      <c r="LD92" s="292"/>
      <c r="LE92" s="292"/>
      <c r="LF92" s="292"/>
      <c r="LG92" s="292"/>
      <c r="LH92" s="292"/>
      <c r="LI92" s="292"/>
      <c r="LJ92" s="292"/>
      <c r="LK92" s="292"/>
      <c r="LL92" s="292"/>
      <c r="LM92" s="292"/>
      <c r="LN92" s="292"/>
      <c r="LO92" s="292"/>
      <c r="LP92" s="292"/>
      <c r="LQ92" s="292"/>
      <c r="LR92" s="292"/>
      <c r="LS92" s="292"/>
      <c r="LT92" s="292"/>
      <c r="LU92" s="292"/>
      <c r="LV92" s="292"/>
      <c r="LW92" s="292"/>
      <c r="LX92" s="292"/>
      <c r="LY92" s="292"/>
      <c r="LZ92" s="292"/>
      <c r="MA92" s="292"/>
      <c r="MB92" s="292"/>
      <c r="MC92" s="292"/>
      <c r="MD92" s="292"/>
      <c r="ME92" s="292"/>
      <c r="MF92" s="292"/>
      <c r="MG92" s="292"/>
      <c r="MH92" s="292"/>
      <c r="MI92" s="292"/>
      <c r="MJ92" s="292"/>
      <c r="MK92" s="292"/>
      <c r="ML92" s="292"/>
      <c r="MM92" s="292"/>
      <c r="MN92" s="292"/>
      <c r="MO92" s="292"/>
      <c r="MP92" s="292"/>
      <c r="MQ92" s="292"/>
      <c r="MR92" s="292"/>
      <c r="MS92" s="292"/>
      <c r="MT92" s="292"/>
      <c r="MU92" s="292"/>
      <c r="MV92" s="292"/>
      <c r="MW92" s="292"/>
      <c r="MX92" s="292"/>
      <c r="MY92" s="292"/>
      <c r="MZ92" s="292"/>
      <c r="NA92" s="292"/>
      <c r="NB92" s="292"/>
      <c r="NC92" s="292"/>
      <c r="ND92" s="292"/>
      <c r="NE92" s="292"/>
      <c r="NF92" s="292"/>
      <c r="NG92" s="292"/>
      <c r="NH92" s="292"/>
      <c r="NI92" s="292"/>
      <c r="NJ92" s="292"/>
      <c r="NK92" s="292"/>
      <c r="NL92" s="292"/>
      <c r="NM92" s="292"/>
      <c r="NN92" s="292"/>
      <c r="NO92" s="292"/>
      <c r="NP92" s="292"/>
      <c r="NQ92" s="292"/>
      <c r="NR92" s="292"/>
      <c r="NS92" s="292"/>
      <c r="NT92" s="292"/>
      <c r="NU92" s="292"/>
      <c r="NV92" s="292"/>
      <c r="NW92" s="292"/>
      <c r="NX92" s="292"/>
      <c r="NY92" s="568"/>
      <c r="NZ92" s="568"/>
      <c r="OA92" s="575"/>
      <c r="OB92" s="575"/>
      <c r="OC92" s="578"/>
      <c r="OD92" s="578"/>
    </row>
    <row r="93" spans="1:394" s="20" customFormat="1" ht="10.5" customHeight="1">
      <c r="B93" s="13"/>
      <c r="C93" s="12"/>
      <c r="H93" s="17"/>
      <c r="K93" s="17"/>
      <c r="L93" s="17"/>
      <c r="O93" s="17"/>
      <c r="AL93" s="17"/>
      <c r="AM93" s="23"/>
      <c r="AN93" s="29"/>
      <c r="AO93" s="29"/>
      <c r="AP93" s="29"/>
      <c r="AQ93" s="22"/>
      <c r="AR93" s="29"/>
      <c r="AS93" s="29"/>
      <c r="AT93" s="49"/>
      <c r="AU93" s="49"/>
      <c r="AV93" s="52"/>
      <c r="AW93" s="52"/>
      <c r="AX93" s="52"/>
      <c r="AY93" s="52"/>
      <c r="AZ93" s="52"/>
      <c r="BA93" s="52"/>
      <c r="BB93" s="13"/>
      <c r="BO93" s="23"/>
      <c r="BP93" s="23"/>
      <c r="BQ93" s="23"/>
      <c r="BT93" s="29"/>
      <c r="BU93" s="29"/>
      <c r="BV93" s="29"/>
      <c r="BW93" s="29"/>
      <c r="CA93" s="29"/>
      <c r="CB93" s="30"/>
      <c r="CC93" s="30"/>
      <c r="CD93" s="30"/>
      <c r="CE93" s="30"/>
      <c r="CF93" s="30"/>
      <c r="CG93" s="55" t="s">
        <v>127</v>
      </c>
      <c r="CH93" s="52"/>
      <c r="CI93" s="52">
        <v>0</v>
      </c>
      <c r="CJ93" s="52">
        <v>0</v>
      </c>
      <c r="CK93" s="52">
        <v>0</v>
      </c>
      <c r="CL93" s="52">
        <v>0</v>
      </c>
      <c r="CM93" s="52">
        <v>0</v>
      </c>
      <c r="CN93" s="48">
        <v>0</v>
      </c>
      <c r="CO93" s="209">
        <f t="shared" si="6"/>
        <v>0</v>
      </c>
      <c r="EG93" s="292"/>
      <c r="EH93" s="292"/>
      <c r="EI93" s="292"/>
      <c r="EJ93" s="292"/>
      <c r="EK93" s="292"/>
      <c r="EL93" s="292"/>
      <c r="EM93" s="292"/>
      <c r="EN93" s="292"/>
      <c r="EO93" s="292"/>
      <c r="EP93" s="292"/>
      <c r="EQ93" s="292"/>
      <c r="ER93" s="292"/>
      <c r="ES93" s="292"/>
      <c r="ET93" s="292"/>
      <c r="EU93" s="292"/>
      <c r="EV93" s="292"/>
      <c r="EW93" s="292"/>
      <c r="EX93" s="292"/>
      <c r="FA93" s="292"/>
      <c r="FB93" s="292"/>
      <c r="FC93" s="292"/>
      <c r="FD93" s="292"/>
      <c r="FE93" s="292"/>
      <c r="FF93" s="292"/>
      <c r="FG93" s="292"/>
      <c r="FH93" s="292"/>
      <c r="FI93" s="292"/>
      <c r="FJ93" s="292"/>
      <c r="FK93" s="292"/>
      <c r="FL93" s="292"/>
      <c r="FM93" s="292"/>
      <c r="FN93" s="292"/>
      <c r="FO93" s="292"/>
      <c r="FP93" s="292"/>
      <c r="FQ93" s="292"/>
      <c r="FR93" s="292"/>
      <c r="FS93" s="292"/>
      <c r="FT93" s="292"/>
      <c r="FU93" s="292"/>
      <c r="FV93" s="292"/>
      <c r="FW93" s="292"/>
      <c r="FX93" s="292"/>
      <c r="FY93" s="292"/>
      <c r="FZ93" s="292"/>
      <c r="GA93" s="292"/>
      <c r="GB93" s="292"/>
      <c r="GC93" s="292"/>
      <c r="GD93" s="292"/>
      <c r="GE93" s="292"/>
      <c r="GF93" s="292"/>
      <c r="GG93" s="292"/>
      <c r="GH93" s="292"/>
      <c r="GI93" s="292"/>
      <c r="GJ93" s="292"/>
      <c r="GK93" s="292"/>
      <c r="GL93" s="292"/>
      <c r="GM93" s="292"/>
      <c r="GN93" s="292"/>
      <c r="GO93" s="292"/>
      <c r="GP93" s="292"/>
      <c r="GQ93" s="292"/>
      <c r="GR93" s="292"/>
      <c r="GS93" s="292"/>
      <c r="GT93" s="292"/>
      <c r="GU93" s="292"/>
      <c r="GV93" s="292"/>
      <c r="GW93" s="292"/>
      <c r="GX93" s="292"/>
      <c r="GY93" s="292"/>
      <c r="GZ93" s="292"/>
      <c r="HA93" s="292"/>
      <c r="HB93" s="292"/>
      <c r="HC93" s="292"/>
      <c r="HD93" s="292"/>
      <c r="HE93" s="292"/>
      <c r="HF93" s="292"/>
      <c r="HG93" s="292"/>
      <c r="HH93" s="292"/>
      <c r="HI93" s="292"/>
      <c r="HJ93" s="292"/>
      <c r="HK93" s="292"/>
      <c r="HL93" s="292"/>
      <c r="HM93" s="292"/>
      <c r="HN93" s="292"/>
      <c r="HO93" s="292"/>
      <c r="HP93" s="292"/>
      <c r="HQ93" s="292"/>
      <c r="HR93" s="292"/>
      <c r="HS93" s="292"/>
      <c r="HT93" s="292"/>
      <c r="HU93" s="292"/>
      <c r="HV93" s="292"/>
      <c r="HW93" s="292"/>
      <c r="HX93" s="292"/>
      <c r="HY93" s="292"/>
      <c r="HZ93" s="292"/>
      <c r="IA93" s="292"/>
      <c r="IB93" s="292"/>
      <c r="IC93" s="292"/>
      <c r="ID93" s="292"/>
      <c r="IE93" s="292"/>
      <c r="IF93" s="292"/>
      <c r="IG93" s="292"/>
      <c r="IH93" s="292"/>
      <c r="II93" s="292"/>
      <c r="IJ93" s="292"/>
      <c r="IK93" s="292"/>
      <c r="IL93" s="292"/>
      <c r="IM93" s="292"/>
      <c r="IN93" s="292"/>
      <c r="IO93" s="292"/>
      <c r="IP93" s="292"/>
      <c r="IQ93" s="292"/>
      <c r="IR93" s="292"/>
      <c r="IS93" s="292"/>
      <c r="IT93" s="292"/>
      <c r="IU93" s="292"/>
      <c r="IV93" s="292"/>
      <c r="IW93" s="292"/>
      <c r="IX93" s="292"/>
      <c r="IY93" s="292"/>
      <c r="IZ93" s="292"/>
      <c r="JA93" s="292"/>
      <c r="JB93" s="292"/>
      <c r="JC93" s="292"/>
      <c r="JD93" s="292"/>
      <c r="JE93" s="292"/>
      <c r="JF93" s="292"/>
      <c r="JG93" s="292"/>
      <c r="JH93" s="292"/>
      <c r="JI93" s="292"/>
      <c r="JJ93" s="292"/>
      <c r="JK93" s="292"/>
      <c r="JL93" s="292"/>
      <c r="JM93" s="292"/>
      <c r="JN93" s="292"/>
      <c r="JO93" s="292"/>
      <c r="JP93" s="292"/>
      <c r="JQ93" s="292"/>
      <c r="JR93" s="292"/>
      <c r="JS93" s="292"/>
      <c r="JT93" s="292"/>
      <c r="JU93" s="292"/>
      <c r="JV93" s="292"/>
      <c r="JW93" s="292"/>
      <c r="JX93" s="292"/>
      <c r="JY93" s="292"/>
      <c r="JZ93" s="292"/>
      <c r="KA93" s="292"/>
      <c r="KB93" s="292"/>
      <c r="KC93" s="292"/>
      <c r="KD93" s="292"/>
      <c r="KE93" s="292"/>
      <c r="KF93" s="292"/>
      <c r="KG93" s="292"/>
      <c r="KH93" s="292"/>
      <c r="KI93" s="292"/>
      <c r="KJ93" s="292"/>
      <c r="KK93" s="292"/>
      <c r="KL93" s="292"/>
      <c r="KM93" s="292"/>
      <c r="KN93" s="292"/>
      <c r="KO93" s="292"/>
      <c r="KP93" s="292"/>
      <c r="KQ93" s="292"/>
      <c r="KR93" s="292"/>
      <c r="KS93" s="292"/>
      <c r="KT93" s="292"/>
      <c r="KU93" s="292"/>
      <c r="KV93" s="292"/>
      <c r="KW93" s="292"/>
      <c r="KX93" s="292"/>
      <c r="KY93" s="292"/>
      <c r="KZ93" s="292"/>
      <c r="LA93" s="292"/>
      <c r="LB93" s="292"/>
      <c r="LC93" s="292"/>
      <c r="LD93" s="292"/>
      <c r="LE93" s="292"/>
      <c r="LF93" s="292"/>
      <c r="LG93" s="292"/>
      <c r="LH93" s="292"/>
      <c r="LI93" s="292"/>
      <c r="LJ93" s="292"/>
      <c r="LK93" s="292"/>
      <c r="LL93" s="292"/>
      <c r="LM93" s="292"/>
      <c r="LN93" s="292"/>
      <c r="LO93" s="292"/>
      <c r="LP93" s="292"/>
      <c r="LQ93" s="292"/>
      <c r="LR93" s="292"/>
      <c r="LS93" s="292"/>
      <c r="LT93" s="292"/>
      <c r="LU93" s="292"/>
      <c r="LV93" s="292"/>
      <c r="LW93" s="292"/>
      <c r="LX93" s="292"/>
      <c r="LY93" s="292"/>
      <c r="LZ93" s="292"/>
      <c r="MA93" s="292"/>
      <c r="MB93" s="292"/>
      <c r="MC93" s="292"/>
      <c r="MD93" s="292"/>
      <c r="ME93" s="292"/>
      <c r="MF93" s="292"/>
      <c r="MG93" s="292"/>
      <c r="MH93" s="292"/>
      <c r="MI93" s="292"/>
      <c r="MJ93" s="292"/>
      <c r="MK93" s="292"/>
      <c r="ML93" s="292"/>
      <c r="MM93" s="292"/>
      <c r="MN93" s="292"/>
      <c r="MO93" s="292"/>
      <c r="MP93" s="292"/>
      <c r="MQ93" s="292"/>
      <c r="MR93" s="292"/>
      <c r="MS93" s="292"/>
      <c r="MT93" s="292"/>
      <c r="MU93" s="292"/>
      <c r="MV93" s="292"/>
      <c r="MW93" s="292"/>
      <c r="MX93" s="292"/>
      <c r="MY93" s="292"/>
      <c r="MZ93" s="292"/>
      <c r="NA93" s="292"/>
      <c r="NB93" s="292"/>
      <c r="NC93" s="292"/>
      <c r="ND93" s="292"/>
      <c r="NE93" s="292"/>
      <c r="NF93" s="292"/>
      <c r="NG93" s="292"/>
      <c r="NH93" s="292"/>
      <c r="NI93" s="292"/>
      <c r="NJ93" s="292"/>
      <c r="NK93" s="292"/>
      <c r="NL93" s="292"/>
      <c r="NM93" s="292"/>
      <c r="NN93" s="292"/>
      <c r="NO93" s="292"/>
      <c r="NP93" s="292"/>
      <c r="NQ93" s="292"/>
      <c r="NR93" s="292"/>
      <c r="NS93" s="292"/>
      <c r="NT93" s="292"/>
      <c r="NU93" s="292"/>
      <c r="NV93" s="292"/>
      <c r="NW93" s="292"/>
      <c r="NX93" s="292"/>
      <c r="NY93" s="568"/>
      <c r="NZ93" s="568"/>
      <c r="OA93" s="575"/>
      <c r="OB93" s="575"/>
      <c r="OC93" s="578"/>
      <c r="OD93" s="578"/>
    </row>
    <row r="94" spans="1:394" s="20" customFormat="1" ht="10.5" customHeight="1">
      <c r="A94" s="119"/>
      <c r="B94" s="17"/>
      <c r="C94" s="12"/>
      <c r="H94" s="17"/>
      <c r="K94" s="17"/>
      <c r="L94" s="17"/>
      <c r="O94" s="17"/>
      <c r="AL94" s="17"/>
      <c r="AM94" s="23"/>
      <c r="AN94" s="29"/>
      <c r="AO94" s="29"/>
      <c r="AP94" s="22"/>
      <c r="AQ94" s="22"/>
      <c r="AR94" s="29"/>
      <c r="AS94" s="29"/>
      <c r="AT94" s="49"/>
      <c r="AU94" s="49"/>
      <c r="AV94" s="52"/>
      <c r="AW94" s="52"/>
      <c r="AX94" s="52"/>
      <c r="AY94" s="52"/>
      <c r="AZ94" s="52"/>
      <c r="BA94" s="52"/>
      <c r="BB94" s="13"/>
      <c r="BO94" s="23"/>
      <c r="BP94" s="23"/>
      <c r="BQ94" s="23"/>
      <c r="BT94" s="29"/>
      <c r="BU94" s="29"/>
      <c r="BV94" s="29"/>
      <c r="BW94" s="29"/>
      <c r="BX94" s="36"/>
      <c r="BY94" s="36"/>
      <c r="BZ94" s="40"/>
      <c r="CA94" s="29"/>
      <c r="CB94" s="30"/>
      <c r="CC94" s="30"/>
      <c r="CD94" s="30"/>
      <c r="CE94" s="30"/>
      <c r="CF94" s="30"/>
      <c r="CG94" s="55" t="s">
        <v>213</v>
      </c>
      <c r="CH94" s="331"/>
      <c r="CI94" s="201">
        <v>0</v>
      </c>
      <c r="CJ94" s="201">
        <v>0</v>
      </c>
      <c r="CK94" s="201">
        <v>0</v>
      </c>
      <c r="CL94" s="201">
        <v>0</v>
      </c>
      <c r="CM94" s="201">
        <v>0</v>
      </c>
      <c r="CN94" s="599">
        <v>0</v>
      </c>
      <c r="CO94" s="334">
        <f t="shared" si="6"/>
        <v>0</v>
      </c>
      <c r="EG94" s="292"/>
      <c r="EH94" s="292"/>
      <c r="EI94" s="292"/>
      <c r="EJ94" s="292"/>
      <c r="EK94" s="292"/>
      <c r="EL94" s="292"/>
      <c r="EM94" s="292"/>
      <c r="EN94" s="292"/>
      <c r="EO94" s="292"/>
      <c r="EP94" s="292"/>
      <c r="EQ94" s="292"/>
      <c r="ER94" s="292"/>
      <c r="ES94" s="292"/>
      <c r="ET94" s="292"/>
      <c r="EU94" s="292"/>
      <c r="EV94" s="292"/>
      <c r="EW94" s="292"/>
      <c r="EX94" s="292"/>
      <c r="FA94" s="292"/>
      <c r="FB94" s="292"/>
      <c r="FC94" s="292"/>
      <c r="FD94" s="292"/>
      <c r="FE94" s="292"/>
      <c r="FF94" s="292"/>
      <c r="FG94" s="292"/>
      <c r="FH94" s="292"/>
      <c r="FI94" s="292"/>
      <c r="FJ94" s="292"/>
      <c r="FK94" s="292"/>
      <c r="FL94" s="292"/>
      <c r="FM94" s="292"/>
      <c r="FN94" s="292"/>
      <c r="FO94" s="292"/>
      <c r="FP94" s="292"/>
      <c r="FQ94" s="292"/>
      <c r="FR94" s="292"/>
      <c r="FS94" s="292"/>
      <c r="FT94" s="292"/>
      <c r="FU94" s="292"/>
      <c r="FV94" s="292"/>
      <c r="FW94" s="292"/>
      <c r="FX94" s="292"/>
      <c r="FY94" s="292"/>
      <c r="FZ94" s="292"/>
      <c r="GA94" s="292"/>
      <c r="GB94" s="292"/>
      <c r="GC94" s="292"/>
      <c r="GD94" s="292"/>
      <c r="GE94" s="292"/>
      <c r="GF94" s="292"/>
      <c r="GG94" s="292"/>
      <c r="GH94" s="292"/>
      <c r="GI94" s="292"/>
      <c r="GJ94" s="292"/>
      <c r="GK94" s="292"/>
      <c r="GL94" s="292"/>
      <c r="GM94" s="292"/>
      <c r="GN94" s="292"/>
      <c r="GO94" s="292"/>
      <c r="GP94" s="292"/>
      <c r="GQ94" s="292"/>
      <c r="GR94" s="292"/>
      <c r="GS94" s="292"/>
      <c r="GT94" s="292"/>
      <c r="GU94" s="292"/>
      <c r="GV94" s="292"/>
      <c r="GW94" s="292"/>
      <c r="GX94" s="292"/>
      <c r="GY94" s="292"/>
      <c r="GZ94" s="292"/>
      <c r="HA94" s="292"/>
      <c r="HB94" s="292"/>
      <c r="HC94" s="292"/>
      <c r="HD94" s="292"/>
      <c r="HE94" s="292"/>
      <c r="HF94" s="292"/>
      <c r="HG94" s="292"/>
      <c r="HH94" s="292"/>
      <c r="HI94" s="292"/>
      <c r="HJ94" s="292"/>
      <c r="HK94" s="292"/>
      <c r="HL94" s="292"/>
      <c r="HM94" s="292"/>
      <c r="HN94" s="292"/>
      <c r="HO94" s="292"/>
      <c r="HP94" s="292"/>
      <c r="HQ94" s="292"/>
      <c r="HR94" s="292"/>
      <c r="HS94" s="292"/>
      <c r="HT94" s="292"/>
      <c r="HU94" s="292"/>
      <c r="HV94" s="292"/>
      <c r="HW94" s="292"/>
      <c r="HX94" s="292"/>
      <c r="HY94" s="292"/>
      <c r="HZ94" s="292"/>
      <c r="IA94" s="292"/>
      <c r="IB94" s="292"/>
      <c r="IC94" s="292"/>
      <c r="ID94" s="292"/>
      <c r="IE94" s="292"/>
      <c r="IF94" s="292"/>
      <c r="IG94" s="292"/>
      <c r="IH94" s="292"/>
      <c r="II94" s="292"/>
      <c r="IJ94" s="292"/>
      <c r="IK94" s="292"/>
      <c r="IL94" s="292"/>
      <c r="IM94" s="292"/>
      <c r="IN94" s="292"/>
      <c r="IO94" s="292"/>
      <c r="IP94" s="292"/>
      <c r="IQ94" s="292"/>
      <c r="IR94" s="292"/>
      <c r="IS94" s="292"/>
      <c r="IT94" s="292"/>
      <c r="IU94" s="292"/>
      <c r="IV94" s="292"/>
      <c r="IW94" s="292"/>
      <c r="IX94" s="292"/>
      <c r="IY94" s="292"/>
      <c r="IZ94" s="292"/>
      <c r="JA94" s="292"/>
      <c r="JB94" s="292"/>
      <c r="JC94" s="292"/>
      <c r="JD94" s="292"/>
      <c r="JE94" s="292"/>
      <c r="JF94" s="292"/>
      <c r="JG94" s="292"/>
      <c r="JH94" s="292"/>
      <c r="JI94" s="292"/>
      <c r="JJ94" s="292"/>
      <c r="JK94" s="292"/>
      <c r="JL94" s="292"/>
      <c r="JM94" s="292"/>
      <c r="JN94" s="292"/>
      <c r="JO94" s="292"/>
      <c r="JP94" s="292"/>
      <c r="JQ94" s="292"/>
      <c r="JR94" s="292"/>
      <c r="JS94" s="292"/>
      <c r="JT94" s="292"/>
      <c r="JU94" s="292"/>
      <c r="JV94" s="292"/>
      <c r="JW94" s="292"/>
      <c r="JX94" s="292"/>
      <c r="JY94" s="292"/>
      <c r="JZ94" s="292"/>
      <c r="KA94" s="292"/>
      <c r="KB94" s="292"/>
      <c r="KC94" s="292"/>
      <c r="KD94" s="292"/>
      <c r="KE94" s="292"/>
      <c r="KF94" s="292"/>
      <c r="KG94" s="292"/>
      <c r="KH94" s="292"/>
      <c r="KI94" s="292"/>
      <c r="KJ94" s="292"/>
      <c r="KK94" s="292"/>
      <c r="KL94" s="292"/>
      <c r="KM94" s="292"/>
      <c r="KN94" s="292"/>
      <c r="KO94" s="292"/>
      <c r="KP94" s="292"/>
      <c r="KQ94" s="292"/>
      <c r="KR94" s="292"/>
      <c r="KS94" s="292"/>
      <c r="KT94" s="292"/>
      <c r="KU94" s="292"/>
      <c r="KV94" s="292"/>
      <c r="KW94" s="292"/>
      <c r="KX94" s="292"/>
      <c r="KY94" s="292"/>
      <c r="KZ94" s="292"/>
      <c r="LA94" s="292"/>
      <c r="LB94" s="292"/>
      <c r="LC94" s="292"/>
      <c r="LD94" s="292"/>
      <c r="LE94" s="292"/>
      <c r="LF94" s="292"/>
      <c r="LG94" s="292"/>
      <c r="LH94" s="292"/>
      <c r="LI94" s="292"/>
      <c r="LJ94" s="292"/>
      <c r="LK94" s="292"/>
      <c r="LL94" s="292"/>
      <c r="LM94" s="292"/>
      <c r="LN94" s="292"/>
      <c r="LO94" s="292"/>
      <c r="LP94" s="292"/>
      <c r="LQ94" s="292"/>
      <c r="LR94" s="292"/>
      <c r="LS94" s="292"/>
      <c r="LT94" s="292"/>
      <c r="LU94" s="292"/>
      <c r="LV94" s="292"/>
      <c r="LW94" s="292"/>
      <c r="LX94" s="292"/>
      <c r="LY94" s="292"/>
      <c r="LZ94" s="292"/>
      <c r="MA94" s="292"/>
      <c r="MB94" s="292"/>
      <c r="MC94" s="292"/>
      <c r="MD94" s="292"/>
      <c r="ME94" s="292"/>
      <c r="MF94" s="292"/>
      <c r="MG94" s="292"/>
      <c r="MH94" s="292"/>
      <c r="MI94" s="292"/>
      <c r="MJ94" s="292"/>
      <c r="MK94" s="292"/>
      <c r="ML94" s="292"/>
      <c r="MM94" s="292"/>
      <c r="MN94" s="292"/>
      <c r="MO94" s="292"/>
      <c r="MP94" s="292"/>
      <c r="MQ94" s="292"/>
      <c r="MR94" s="292"/>
      <c r="MS94" s="292"/>
      <c r="MT94" s="292"/>
      <c r="MU94" s="292"/>
      <c r="MV94" s="292"/>
      <c r="MW94" s="292"/>
      <c r="MX94" s="292"/>
      <c r="MY94" s="292"/>
      <c r="MZ94" s="292"/>
      <c r="NA94" s="292"/>
      <c r="NB94" s="292"/>
      <c r="NC94" s="292"/>
      <c r="ND94" s="292"/>
      <c r="NE94" s="292"/>
      <c r="NF94" s="292"/>
      <c r="NG94" s="292"/>
      <c r="NH94" s="292"/>
      <c r="NI94" s="292"/>
      <c r="NJ94" s="292"/>
      <c r="NK94" s="292"/>
      <c r="NL94" s="292"/>
      <c r="NM94" s="292"/>
      <c r="NN94" s="292"/>
      <c r="NO94" s="292"/>
      <c r="NP94" s="292"/>
      <c r="NQ94" s="292"/>
      <c r="NR94" s="292"/>
      <c r="NS94" s="292"/>
      <c r="NT94" s="292"/>
      <c r="NU94" s="292"/>
      <c r="NV94" s="292"/>
      <c r="NW94" s="292"/>
      <c r="NX94" s="292"/>
      <c r="NY94" s="568"/>
      <c r="NZ94" s="568"/>
      <c r="OA94" s="575"/>
      <c r="OB94" s="575"/>
      <c r="OC94" s="578"/>
      <c r="OD94" s="578"/>
    </row>
    <row r="95" spans="1:394" s="20" customFormat="1" ht="10.5" customHeight="1">
      <c r="B95" s="17"/>
      <c r="C95" s="17"/>
      <c r="H95" s="17"/>
      <c r="K95" s="29"/>
      <c r="L95" s="17"/>
      <c r="O95" s="17"/>
      <c r="AL95" s="17"/>
      <c r="AN95" s="17"/>
      <c r="AO95" s="17"/>
      <c r="AP95" s="28"/>
      <c r="AQ95" s="22"/>
      <c r="AR95" s="29"/>
      <c r="AS95" s="29"/>
      <c r="AT95" s="49"/>
      <c r="AU95" s="49"/>
      <c r="AV95" s="52"/>
      <c r="AW95" s="52"/>
      <c r="AX95" s="52"/>
      <c r="AY95" s="52"/>
      <c r="AZ95" s="52"/>
      <c r="BA95" s="52"/>
      <c r="BB95" s="13"/>
      <c r="BP95" s="23"/>
      <c r="BQ95" s="23"/>
      <c r="BT95" s="29"/>
      <c r="BU95" s="29"/>
      <c r="BV95" s="29"/>
      <c r="BW95" s="29"/>
      <c r="BX95" s="36"/>
      <c r="BY95" s="36"/>
      <c r="BZ95" s="40"/>
      <c r="CA95" s="29"/>
      <c r="CB95" s="30"/>
      <c r="CC95" s="30"/>
      <c r="CD95" s="30"/>
      <c r="CE95" s="30"/>
      <c r="CF95" s="30"/>
      <c r="CG95" s="104" t="s">
        <v>72</v>
      </c>
      <c r="CH95" s="330"/>
      <c r="CI95" s="330">
        <f t="shared" ref="CI95:CL95" si="7">SUM(CI92:CI94)</f>
        <v>0</v>
      </c>
      <c r="CJ95" s="330">
        <f t="shared" si="7"/>
        <v>0</v>
      </c>
      <c r="CK95" s="330">
        <f t="shared" si="7"/>
        <v>0</v>
      </c>
      <c r="CL95" s="330">
        <f t="shared" si="7"/>
        <v>0</v>
      </c>
      <c r="CM95" s="330">
        <v>0</v>
      </c>
      <c r="CN95" s="330">
        <f t="shared" ref="CN95" si="8">SUM(CN92:CN94)</f>
        <v>0</v>
      </c>
      <c r="CO95" s="332">
        <f t="shared" si="6"/>
        <v>0</v>
      </c>
      <c r="EG95" s="292"/>
      <c r="EH95" s="292"/>
      <c r="EI95" s="292"/>
      <c r="EJ95" s="292"/>
      <c r="EK95" s="292"/>
      <c r="EL95" s="292"/>
      <c r="EM95" s="292"/>
      <c r="EN95" s="292"/>
      <c r="EO95" s="292"/>
      <c r="EP95" s="292"/>
      <c r="EQ95" s="292"/>
      <c r="ER95" s="292"/>
      <c r="ES95" s="292"/>
      <c r="ET95" s="292"/>
      <c r="EU95" s="292"/>
      <c r="EV95" s="292"/>
      <c r="EW95" s="292"/>
      <c r="EX95" s="292"/>
      <c r="FA95" s="292"/>
      <c r="FB95" s="292"/>
      <c r="FC95" s="292"/>
      <c r="FD95" s="292"/>
      <c r="FE95" s="292"/>
      <c r="FF95" s="292"/>
      <c r="FG95" s="292"/>
      <c r="FH95" s="292"/>
      <c r="FI95" s="292"/>
      <c r="FJ95" s="292"/>
      <c r="FK95" s="292"/>
      <c r="FL95" s="292"/>
      <c r="FM95" s="292"/>
      <c r="FN95" s="292"/>
      <c r="FO95" s="292"/>
      <c r="FP95" s="292"/>
      <c r="FQ95" s="292"/>
      <c r="FR95" s="292"/>
      <c r="FS95" s="292"/>
      <c r="FT95" s="292"/>
      <c r="FU95" s="292"/>
      <c r="FV95" s="292"/>
      <c r="FW95" s="292"/>
      <c r="FX95" s="292"/>
      <c r="FY95" s="292"/>
      <c r="FZ95" s="292"/>
      <c r="GA95" s="292"/>
      <c r="GB95" s="292"/>
      <c r="GC95" s="292"/>
      <c r="GD95" s="292"/>
      <c r="GE95" s="292"/>
      <c r="GF95" s="292"/>
      <c r="GG95" s="292"/>
      <c r="GH95" s="292"/>
      <c r="GI95" s="292"/>
      <c r="GJ95" s="292"/>
      <c r="GK95" s="292"/>
      <c r="GL95" s="292"/>
      <c r="GM95" s="292"/>
      <c r="GN95" s="292"/>
      <c r="GO95" s="292"/>
      <c r="GP95" s="292"/>
      <c r="GQ95" s="292"/>
      <c r="GR95" s="292"/>
      <c r="GS95" s="292"/>
      <c r="GT95" s="292"/>
      <c r="GU95" s="292"/>
      <c r="GV95" s="292"/>
      <c r="GW95" s="292"/>
      <c r="GX95" s="292"/>
      <c r="GY95" s="292"/>
      <c r="GZ95" s="292"/>
      <c r="HA95" s="292"/>
      <c r="HB95" s="292"/>
      <c r="HC95" s="292"/>
      <c r="HD95" s="292"/>
      <c r="HE95" s="292"/>
      <c r="HF95" s="292"/>
      <c r="HG95" s="292"/>
      <c r="HH95" s="292"/>
      <c r="HI95" s="292"/>
      <c r="HJ95" s="292"/>
      <c r="HK95" s="292"/>
      <c r="HL95" s="292"/>
      <c r="HM95" s="292"/>
      <c r="HN95" s="292"/>
      <c r="HO95" s="292"/>
      <c r="HP95" s="292"/>
      <c r="HQ95" s="292"/>
      <c r="HR95" s="292"/>
      <c r="HS95" s="292"/>
      <c r="HT95" s="292"/>
      <c r="HU95" s="292"/>
      <c r="HV95" s="292"/>
      <c r="HW95" s="292"/>
      <c r="HX95" s="292"/>
      <c r="HY95" s="292"/>
      <c r="HZ95" s="292"/>
      <c r="IA95" s="292"/>
      <c r="IB95" s="292"/>
      <c r="IC95" s="292"/>
      <c r="ID95" s="292"/>
      <c r="IE95" s="292"/>
      <c r="IF95" s="292"/>
      <c r="IG95" s="292"/>
      <c r="IH95" s="292"/>
      <c r="II95" s="292"/>
      <c r="IJ95" s="292"/>
      <c r="IK95" s="292"/>
      <c r="IL95" s="292"/>
      <c r="IM95" s="292"/>
      <c r="IN95" s="292"/>
      <c r="IO95" s="292"/>
      <c r="IP95" s="292"/>
      <c r="IQ95" s="292"/>
      <c r="IR95" s="292"/>
      <c r="IS95" s="292"/>
      <c r="IT95" s="292"/>
      <c r="IU95" s="292"/>
      <c r="IV95" s="292"/>
      <c r="IW95" s="292"/>
      <c r="IX95" s="292"/>
      <c r="IY95" s="292"/>
      <c r="IZ95" s="292"/>
      <c r="JA95" s="292"/>
      <c r="JB95" s="292"/>
      <c r="JC95" s="292"/>
      <c r="JD95" s="292"/>
      <c r="JE95" s="292"/>
      <c r="JF95" s="292"/>
      <c r="JG95" s="292"/>
      <c r="JH95" s="292"/>
      <c r="JI95" s="292"/>
      <c r="JJ95" s="292"/>
      <c r="JK95" s="292"/>
      <c r="JL95" s="292"/>
      <c r="JM95" s="292"/>
      <c r="JN95" s="292"/>
      <c r="JO95" s="292"/>
      <c r="JP95" s="292"/>
      <c r="JQ95" s="292"/>
      <c r="JR95" s="292"/>
      <c r="JS95" s="292"/>
      <c r="JT95" s="292"/>
      <c r="JU95" s="292"/>
      <c r="JV95" s="292"/>
      <c r="JW95" s="292"/>
      <c r="JX95" s="292"/>
      <c r="JY95" s="292"/>
      <c r="JZ95" s="292"/>
      <c r="KA95" s="292"/>
      <c r="KB95" s="292"/>
      <c r="KC95" s="292"/>
      <c r="KD95" s="292"/>
      <c r="KE95" s="292"/>
      <c r="KF95" s="292"/>
      <c r="KG95" s="292"/>
      <c r="KH95" s="292"/>
      <c r="KI95" s="292"/>
      <c r="KJ95" s="292"/>
      <c r="KK95" s="292"/>
      <c r="KL95" s="292"/>
      <c r="KM95" s="292"/>
      <c r="KN95" s="292"/>
      <c r="KO95" s="292"/>
      <c r="KP95" s="292"/>
      <c r="KQ95" s="292"/>
      <c r="KR95" s="292"/>
      <c r="KS95" s="292"/>
      <c r="KT95" s="292"/>
      <c r="KU95" s="292"/>
      <c r="KV95" s="292"/>
      <c r="KW95" s="292"/>
      <c r="KX95" s="292"/>
      <c r="KY95" s="292"/>
      <c r="KZ95" s="292"/>
      <c r="LA95" s="292"/>
      <c r="LB95" s="292"/>
      <c r="LC95" s="292"/>
      <c r="LD95" s="292"/>
      <c r="LE95" s="292"/>
      <c r="LF95" s="292"/>
      <c r="LG95" s="292"/>
      <c r="LH95" s="292"/>
      <c r="LI95" s="292"/>
      <c r="LJ95" s="292"/>
      <c r="LK95" s="292"/>
      <c r="LL95" s="292"/>
      <c r="LM95" s="292"/>
      <c r="LN95" s="292"/>
      <c r="LO95" s="292"/>
      <c r="LP95" s="292"/>
      <c r="LQ95" s="292"/>
      <c r="LR95" s="292"/>
      <c r="LS95" s="292"/>
      <c r="LT95" s="292"/>
      <c r="LU95" s="292"/>
      <c r="LV95" s="292"/>
      <c r="LW95" s="292"/>
      <c r="LX95" s="292"/>
      <c r="LY95" s="292"/>
      <c r="LZ95" s="292"/>
      <c r="MA95" s="292"/>
      <c r="MB95" s="292"/>
      <c r="MC95" s="292"/>
      <c r="MD95" s="292"/>
      <c r="ME95" s="292"/>
      <c r="MF95" s="292"/>
      <c r="MG95" s="292"/>
      <c r="MH95" s="292"/>
      <c r="MI95" s="292"/>
      <c r="MJ95" s="292"/>
      <c r="MK95" s="292"/>
      <c r="ML95" s="292"/>
      <c r="MM95" s="292"/>
      <c r="MN95" s="292"/>
      <c r="MO95" s="292"/>
      <c r="MP95" s="292"/>
      <c r="MQ95" s="292"/>
      <c r="MR95" s="292"/>
      <c r="MS95" s="292"/>
      <c r="MT95" s="292"/>
      <c r="MU95" s="292"/>
      <c r="MV95" s="292"/>
      <c r="MW95" s="292"/>
      <c r="MX95" s="292"/>
      <c r="MY95" s="292"/>
      <c r="MZ95" s="292"/>
      <c r="NA95" s="292"/>
      <c r="NB95" s="292"/>
      <c r="NC95" s="292"/>
      <c r="ND95" s="292"/>
      <c r="NE95" s="292"/>
      <c r="NF95" s="292"/>
      <c r="NG95" s="292"/>
      <c r="NH95" s="292"/>
      <c r="NI95" s="292"/>
      <c r="NJ95" s="292"/>
      <c r="NK95" s="292"/>
      <c r="NL95" s="292"/>
      <c r="NM95" s="292"/>
      <c r="NN95" s="292"/>
      <c r="NO95" s="292"/>
      <c r="NP95" s="292"/>
      <c r="NQ95" s="292"/>
      <c r="NR95" s="292"/>
      <c r="NS95" s="292"/>
      <c r="NT95" s="292"/>
      <c r="NU95" s="292"/>
      <c r="NV95" s="292"/>
      <c r="NW95" s="292"/>
      <c r="NX95" s="292"/>
      <c r="NY95" s="568"/>
      <c r="NZ95" s="568"/>
      <c r="OA95" s="575"/>
      <c r="OB95" s="575"/>
      <c r="OC95" s="578"/>
      <c r="OD95" s="578"/>
    </row>
    <row r="96" spans="1:394" s="20" customFormat="1" ht="10.5" customHeight="1">
      <c r="P96" s="17"/>
      <c r="Q96" s="14"/>
      <c r="R96" s="17"/>
      <c r="S96" s="17"/>
      <c r="T96" s="14"/>
      <c r="U96" s="17"/>
      <c r="V96" s="17"/>
      <c r="W96" s="14"/>
      <c r="X96" s="17"/>
      <c r="Y96" s="17"/>
      <c r="Z96" s="72"/>
      <c r="AA96" s="17"/>
      <c r="AB96" s="72"/>
      <c r="AD96" s="17"/>
      <c r="AF96" s="34"/>
      <c r="AG96" s="17"/>
      <c r="AH96" s="36"/>
      <c r="AI96" s="34"/>
      <c r="AJ96" s="17"/>
      <c r="AT96" s="22"/>
      <c r="AU96" s="22"/>
      <c r="AV96" s="22"/>
      <c r="AW96" s="22"/>
      <c r="AX96" s="22"/>
      <c r="AY96" s="22"/>
      <c r="AZ96" s="22"/>
      <c r="BA96" s="22"/>
      <c r="BB96" s="12"/>
      <c r="BO96" s="23"/>
      <c r="BP96" s="23"/>
      <c r="BQ96" s="23"/>
      <c r="BT96" s="29"/>
      <c r="BU96" s="29"/>
      <c r="BV96" s="29"/>
      <c r="BW96" s="29"/>
      <c r="BX96" s="36"/>
      <c r="BY96" s="36"/>
      <c r="BZ96" s="40"/>
      <c r="CA96" s="29"/>
      <c r="CB96" s="30"/>
      <c r="CC96" s="30"/>
      <c r="CD96" s="30"/>
      <c r="CE96" s="30"/>
      <c r="CF96" s="30"/>
      <c r="CG96" s="53" t="s">
        <v>81</v>
      </c>
      <c r="CH96" s="21"/>
      <c r="CI96" s="21" t="str">
        <f t="shared" ref="CI96:CL96" si="9">CI88</f>
        <v>August</v>
      </c>
      <c r="CJ96" s="21" t="str">
        <f t="shared" si="9"/>
        <v>September</v>
      </c>
      <c r="CK96" s="21" t="str">
        <f t="shared" si="9"/>
        <v>October</v>
      </c>
      <c r="CL96" s="21" t="str">
        <f t="shared" si="9"/>
        <v>November</v>
      </c>
      <c r="CM96" s="21" t="s">
        <v>326</v>
      </c>
      <c r="CN96" s="264" t="s">
        <v>339</v>
      </c>
      <c r="CO96" s="264" t="str">
        <f t="shared" ref="CO96" si="10">CO88</f>
        <v>Tot</v>
      </c>
      <c r="CZ96" s="168"/>
      <c r="EG96" s="292"/>
      <c r="EH96" s="292"/>
      <c r="EI96" s="292"/>
      <c r="EJ96" s="292"/>
      <c r="EK96" s="292"/>
      <c r="EL96" s="292"/>
      <c r="EM96" s="292"/>
      <c r="EN96" s="292"/>
      <c r="EO96" s="292"/>
      <c r="EP96" s="292"/>
      <c r="EQ96" s="292"/>
      <c r="ER96" s="292"/>
      <c r="ES96" s="292"/>
      <c r="ET96" s="292"/>
      <c r="EU96" s="292"/>
      <c r="EV96" s="292"/>
      <c r="EW96" s="292"/>
      <c r="EX96" s="292"/>
      <c r="FA96" s="292"/>
      <c r="FB96" s="292"/>
      <c r="FC96" s="292"/>
      <c r="FD96" s="292"/>
      <c r="FE96" s="292"/>
      <c r="FF96" s="292"/>
      <c r="FG96" s="292"/>
      <c r="FH96" s="292"/>
      <c r="FI96" s="292"/>
      <c r="FJ96" s="292"/>
      <c r="FK96" s="292"/>
      <c r="FL96" s="292"/>
      <c r="FM96" s="292"/>
      <c r="FN96" s="292"/>
      <c r="FO96" s="292"/>
      <c r="FP96" s="292"/>
      <c r="FQ96" s="292"/>
      <c r="FR96" s="292"/>
      <c r="FS96" s="292"/>
      <c r="FT96" s="292"/>
      <c r="FU96" s="292"/>
      <c r="FV96" s="292"/>
      <c r="FW96" s="292"/>
      <c r="FX96" s="292"/>
      <c r="FY96" s="292"/>
      <c r="FZ96" s="292"/>
      <c r="GA96" s="292"/>
      <c r="GB96" s="292"/>
      <c r="GC96" s="292"/>
      <c r="GD96" s="292"/>
      <c r="GE96" s="292"/>
      <c r="GF96" s="292"/>
      <c r="GG96" s="292"/>
      <c r="GH96" s="292"/>
      <c r="GI96" s="292"/>
      <c r="GJ96" s="292"/>
      <c r="GK96" s="292"/>
      <c r="GL96" s="292"/>
      <c r="GM96" s="292"/>
      <c r="GN96" s="292"/>
      <c r="GO96" s="292"/>
      <c r="GP96" s="292"/>
      <c r="GQ96" s="292"/>
      <c r="GR96" s="292"/>
      <c r="GS96" s="292"/>
      <c r="GT96" s="292"/>
      <c r="GU96" s="292"/>
      <c r="GV96" s="292"/>
      <c r="GW96" s="292"/>
      <c r="GX96" s="292"/>
      <c r="GY96" s="292"/>
      <c r="GZ96" s="292"/>
      <c r="HA96" s="292"/>
      <c r="HB96" s="292"/>
      <c r="HC96" s="292"/>
      <c r="HD96" s="292"/>
      <c r="HE96" s="292"/>
      <c r="HF96" s="292"/>
      <c r="HG96" s="292"/>
      <c r="HH96" s="292"/>
      <c r="HI96" s="292"/>
      <c r="HJ96" s="292"/>
      <c r="HK96" s="292"/>
      <c r="HL96" s="292"/>
      <c r="HM96" s="292"/>
      <c r="HN96" s="292"/>
      <c r="HO96" s="292"/>
      <c r="HP96" s="292"/>
      <c r="HQ96" s="292"/>
      <c r="HR96" s="292"/>
      <c r="HS96" s="292"/>
      <c r="HT96" s="292"/>
      <c r="HU96" s="292"/>
      <c r="HV96" s="292"/>
      <c r="HW96" s="292"/>
      <c r="HX96" s="292"/>
      <c r="HY96" s="292"/>
      <c r="HZ96" s="292"/>
      <c r="IA96" s="292"/>
      <c r="IB96" s="292"/>
      <c r="IC96" s="292"/>
      <c r="ID96" s="292"/>
      <c r="IE96" s="292"/>
      <c r="IF96" s="292"/>
      <c r="IG96" s="292"/>
      <c r="IH96" s="292"/>
      <c r="II96" s="292"/>
      <c r="IJ96" s="292"/>
      <c r="IK96" s="292"/>
      <c r="IL96" s="292"/>
      <c r="IM96" s="292"/>
      <c r="IN96" s="292"/>
      <c r="IO96" s="292"/>
      <c r="IP96" s="292"/>
      <c r="IQ96" s="292"/>
      <c r="IR96" s="292"/>
      <c r="IS96" s="292"/>
      <c r="IT96" s="292"/>
      <c r="IU96" s="292"/>
      <c r="IV96" s="292"/>
      <c r="IW96" s="292"/>
      <c r="IX96" s="292"/>
      <c r="IY96" s="292"/>
      <c r="IZ96" s="292"/>
      <c r="JA96" s="292"/>
      <c r="JB96" s="292"/>
      <c r="JC96" s="292"/>
      <c r="JD96" s="292"/>
      <c r="JE96" s="292"/>
      <c r="JF96" s="292"/>
      <c r="JG96" s="292"/>
      <c r="JH96" s="292"/>
      <c r="JI96" s="292"/>
      <c r="JJ96" s="292"/>
      <c r="JK96" s="292"/>
      <c r="JL96" s="292"/>
      <c r="JM96" s="292"/>
      <c r="JN96" s="292"/>
      <c r="JO96" s="292"/>
      <c r="JP96" s="292"/>
      <c r="JQ96" s="292"/>
      <c r="JR96" s="292"/>
      <c r="JS96" s="292"/>
      <c r="JT96" s="292"/>
      <c r="JU96" s="292"/>
      <c r="JV96" s="292"/>
      <c r="JW96" s="292"/>
      <c r="JX96" s="292"/>
      <c r="JY96" s="292"/>
      <c r="JZ96" s="292"/>
      <c r="KA96" s="292"/>
      <c r="KB96" s="292"/>
      <c r="KC96" s="292"/>
      <c r="KD96" s="292"/>
      <c r="KE96" s="292"/>
      <c r="KF96" s="292"/>
      <c r="KG96" s="292"/>
      <c r="KH96" s="292"/>
      <c r="KI96" s="292"/>
      <c r="KJ96" s="292"/>
      <c r="KK96" s="292"/>
      <c r="KL96" s="292"/>
      <c r="KM96" s="292"/>
      <c r="KN96" s="292"/>
      <c r="KO96" s="292"/>
      <c r="KP96" s="292"/>
      <c r="KQ96" s="292"/>
      <c r="KR96" s="292"/>
      <c r="KS96" s="292"/>
      <c r="KT96" s="292"/>
      <c r="KU96" s="292"/>
      <c r="KV96" s="292"/>
      <c r="KW96" s="292"/>
      <c r="KX96" s="292"/>
      <c r="KY96" s="292"/>
      <c r="KZ96" s="292"/>
      <c r="LA96" s="292"/>
      <c r="LB96" s="292"/>
      <c r="LC96" s="292"/>
      <c r="LD96" s="292"/>
      <c r="LE96" s="292"/>
      <c r="LF96" s="292"/>
      <c r="LG96" s="292"/>
      <c r="LH96" s="292"/>
      <c r="LI96" s="292"/>
      <c r="LJ96" s="292"/>
      <c r="LK96" s="292"/>
      <c r="LL96" s="292"/>
      <c r="LM96" s="292"/>
      <c r="LN96" s="292"/>
      <c r="LO96" s="292"/>
      <c r="LP96" s="292"/>
      <c r="LQ96" s="292"/>
      <c r="LR96" s="292"/>
      <c r="LS96" s="292"/>
      <c r="LT96" s="292"/>
      <c r="LU96" s="292"/>
      <c r="LV96" s="292"/>
      <c r="LW96" s="292"/>
      <c r="LX96" s="292"/>
      <c r="LY96" s="292"/>
      <c r="LZ96" s="292"/>
      <c r="MA96" s="292"/>
      <c r="MB96" s="292"/>
      <c r="MC96" s="292"/>
      <c r="MD96" s="292"/>
      <c r="ME96" s="292"/>
      <c r="MF96" s="292"/>
      <c r="MG96" s="292"/>
      <c r="MH96" s="292"/>
      <c r="MI96" s="292"/>
      <c r="MJ96" s="292"/>
      <c r="MK96" s="292"/>
      <c r="ML96" s="292"/>
      <c r="MM96" s="292"/>
      <c r="MN96" s="292"/>
      <c r="MO96" s="292"/>
      <c r="MP96" s="292"/>
      <c r="MQ96" s="292"/>
      <c r="MR96" s="292"/>
      <c r="MS96" s="292"/>
      <c r="MT96" s="292"/>
      <c r="MU96" s="292"/>
      <c r="MV96" s="292"/>
      <c r="MW96" s="292"/>
      <c r="MX96" s="292"/>
      <c r="MY96" s="292"/>
      <c r="MZ96" s="292"/>
      <c r="NA96" s="292"/>
      <c r="NB96" s="292"/>
      <c r="NC96" s="292"/>
      <c r="ND96" s="292"/>
      <c r="NE96" s="292"/>
      <c r="NF96" s="292"/>
      <c r="NG96" s="292"/>
      <c r="NH96" s="292"/>
      <c r="NI96" s="292"/>
      <c r="NJ96" s="292"/>
      <c r="NK96" s="292"/>
      <c r="NL96" s="292"/>
      <c r="NM96" s="292"/>
      <c r="NN96" s="292"/>
      <c r="NO96" s="292"/>
      <c r="NP96" s="292"/>
      <c r="NQ96" s="292"/>
      <c r="NR96" s="292"/>
      <c r="NS96" s="292"/>
      <c r="NT96" s="292"/>
      <c r="NU96" s="292"/>
      <c r="NV96" s="292"/>
      <c r="NW96" s="292"/>
      <c r="NX96" s="292"/>
      <c r="NY96" s="568"/>
      <c r="NZ96" s="568"/>
      <c r="OA96" s="575"/>
      <c r="OB96" s="575"/>
      <c r="OC96" s="578"/>
      <c r="OD96" s="578"/>
    </row>
    <row r="97" spans="1:394" s="20" customFormat="1" ht="10.5" customHeight="1">
      <c r="A97" s="23"/>
      <c r="D97" s="82"/>
      <c r="E97" s="82"/>
      <c r="F97" s="82"/>
      <c r="G97" s="44"/>
      <c r="H97" s="67"/>
      <c r="K97" s="17"/>
      <c r="L97" s="17"/>
      <c r="O97" s="17"/>
      <c r="P97" s="17"/>
      <c r="Q97" s="17"/>
      <c r="AJ97" s="17"/>
      <c r="AL97" s="17"/>
      <c r="AN97" s="17"/>
      <c r="AO97" s="17"/>
      <c r="AT97" s="22"/>
      <c r="AU97" s="22"/>
      <c r="AV97" s="22"/>
      <c r="AW97" s="22"/>
      <c r="AX97" s="22"/>
      <c r="AY97" s="22"/>
      <c r="AZ97" s="22"/>
      <c r="BA97" s="22"/>
      <c r="BB97" s="23"/>
      <c r="BP97" s="23"/>
      <c r="BQ97" s="23"/>
      <c r="BT97" s="29"/>
      <c r="BU97" s="29"/>
      <c r="BV97" s="29"/>
      <c r="BW97" s="29"/>
      <c r="BX97" s="36"/>
      <c r="BY97" s="36"/>
      <c r="BZ97" s="40"/>
      <c r="CA97" s="29"/>
      <c r="CB97" s="30"/>
      <c r="CC97" s="30"/>
      <c r="CD97" s="30"/>
      <c r="CE97" s="30"/>
      <c r="CF97" s="30"/>
      <c r="CG97" s="55" t="s">
        <v>128</v>
      </c>
      <c r="CH97" s="52"/>
      <c r="CI97" s="543">
        <v>0</v>
      </c>
      <c r="CJ97" s="543">
        <v>0</v>
      </c>
      <c r="CK97" s="543">
        <v>0</v>
      </c>
      <c r="CL97" s="543">
        <v>0</v>
      </c>
      <c r="CM97" s="543">
        <v>0</v>
      </c>
      <c r="CN97" s="48">
        <v>1.2</v>
      </c>
      <c r="CO97" s="209">
        <f t="shared" ref="CO97:CO105" si="11">SUM(CI97:CN97)</f>
        <v>1.2</v>
      </c>
      <c r="CZ97" s="22"/>
      <c r="EG97" s="292"/>
      <c r="EH97" s="292"/>
      <c r="EI97" s="292"/>
      <c r="EJ97" s="292"/>
      <c r="EK97" s="292"/>
      <c r="EL97" s="292"/>
      <c r="EM97" s="292"/>
      <c r="EN97" s="292"/>
      <c r="EO97" s="292"/>
      <c r="EP97" s="292"/>
      <c r="EQ97" s="292"/>
      <c r="ER97" s="292"/>
      <c r="ES97" s="292"/>
      <c r="ET97" s="292"/>
      <c r="EU97" s="292"/>
      <c r="EV97" s="292"/>
      <c r="EW97" s="292"/>
      <c r="EX97" s="292"/>
      <c r="FA97" s="292"/>
      <c r="FB97" s="292"/>
      <c r="FC97" s="292"/>
      <c r="FD97" s="292"/>
      <c r="FE97" s="292"/>
      <c r="FF97" s="292"/>
      <c r="FG97" s="292"/>
      <c r="FH97" s="292"/>
      <c r="FI97" s="292"/>
      <c r="FJ97" s="292"/>
      <c r="FK97" s="292"/>
      <c r="FL97" s="292"/>
      <c r="FM97" s="292"/>
      <c r="FN97" s="292"/>
      <c r="FO97" s="292"/>
      <c r="FP97" s="292"/>
      <c r="FQ97" s="292"/>
      <c r="FR97" s="292"/>
      <c r="FS97" s="292"/>
      <c r="FT97" s="292"/>
      <c r="FU97" s="292"/>
      <c r="FV97" s="292"/>
      <c r="FW97" s="292"/>
      <c r="FX97" s="292"/>
      <c r="FY97" s="292"/>
      <c r="FZ97" s="292"/>
      <c r="GA97" s="292"/>
      <c r="GB97" s="292"/>
      <c r="GC97" s="292"/>
      <c r="GD97" s="292"/>
      <c r="GE97" s="292"/>
      <c r="GF97" s="292"/>
      <c r="GG97" s="292"/>
      <c r="GH97" s="292"/>
      <c r="GI97" s="292"/>
      <c r="GJ97" s="292"/>
      <c r="GK97" s="292"/>
      <c r="GL97" s="292"/>
      <c r="GM97" s="292"/>
      <c r="GN97" s="292"/>
      <c r="GO97" s="292"/>
      <c r="GP97" s="292"/>
      <c r="GQ97" s="292"/>
      <c r="GR97" s="292"/>
      <c r="GS97" s="292"/>
      <c r="GT97" s="292"/>
      <c r="GU97" s="292"/>
      <c r="GV97" s="292"/>
      <c r="GW97" s="292"/>
      <c r="GX97" s="292"/>
      <c r="GY97" s="292"/>
      <c r="GZ97" s="292"/>
      <c r="HA97" s="292"/>
      <c r="HB97" s="292"/>
      <c r="HC97" s="292"/>
      <c r="HD97" s="292"/>
      <c r="HE97" s="292"/>
      <c r="HF97" s="292"/>
      <c r="HG97" s="292"/>
      <c r="HH97" s="292"/>
      <c r="HI97" s="292"/>
      <c r="HJ97" s="292"/>
      <c r="HK97" s="292"/>
      <c r="HL97" s="292"/>
      <c r="HM97" s="292"/>
      <c r="HN97" s="292"/>
      <c r="HO97" s="292"/>
      <c r="HP97" s="292"/>
      <c r="HQ97" s="292"/>
      <c r="HR97" s="292"/>
      <c r="HS97" s="292"/>
      <c r="HT97" s="292"/>
      <c r="HU97" s="292"/>
      <c r="HV97" s="292"/>
      <c r="HW97" s="292"/>
      <c r="HX97" s="292"/>
      <c r="HY97" s="292"/>
      <c r="HZ97" s="292"/>
      <c r="IA97" s="292"/>
      <c r="IB97" s="292"/>
      <c r="IC97" s="292"/>
      <c r="ID97" s="292"/>
      <c r="IE97" s="292"/>
      <c r="IF97" s="292"/>
      <c r="IG97" s="292"/>
      <c r="IH97" s="292"/>
      <c r="II97" s="292"/>
      <c r="IJ97" s="292"/>
      <c r="IK97" s="292"/>
      <c r="IL97" s="292"/>
      <c r="IM97" s="292"/>
      <c r="IN97" s="292"/>
      <c r="IO97" s="292"/>
      <c r="IP97" s="292"/>
      <c r="IQ97" s="292"/>
      <c r="IR97" s="292"/>
      <c r="IS97" s="292"/>
      <c r="IT97" s="292"/>
      <c r="IU97" s="292"/>
      <c r="IV97" s="292"/>
      <c r="IW97" s="292"/>
      <c r="IX97" s="292"/>
      <c r="IY97" s="292"/>
      <c r="IZ97" s="292"/>
      <c r="JA97" s="292"/>
      <c r="JB97" s="292"/>
      <c r="JC97" s="292"/>
      <c r="JD97" s="292"/>
      <c r="JE97" s="292"/>
      <c r="JF97" s="292"/>
      <c r="JG97" s="292"/>
      <c r="JH97" s="292"/>
      <c r="JI97" s="292"/>
      <c r="JJ97" s="292"/>
      <c r="JK97" s="292"/>
      <c r="JL97" s="292"/>
      <c r="JM97" s="292"/>
      <c r="JN97" s="292"/>
      <c r="JO97" s="292"/>
      <c r="JP97" s="292"/>
      <c r="JQ97" s="292"/>
      <c r="JR97" s="292"/>
      <c r="JS97" s="292"/>
      <c r="JT97" s="292"/>
      <c r="JU97" s="292"/>
      <c r="JV97" s="292"/>
      <c r="JW97" s="292"/>
      <c r="JX97" s="292"/>
      <c r="JY97" s="292"/>
      <c r="JZ97" s="292"/>
      <c r="KA97" s="292"/>
      <c r="KB97" s="292"/>
      <c r="KC97" s="292"/>
      <c r="KD97" s="292"/>
      <c r="KE97" s="292"/>
      <c r="KF97" s="292"/>
      <c r="KG97" s="292"/>
      <c r="KH97" s="292"/>
      <c r="KI97" s="292"/>
      <c r="KJ97" s="292"/>
      <c r="KK97" s="292"/>
      <c r="KL97" s="292"/>
      <c r="KM97" s="292"/>
      <c r="KN97" s="292"/>
      <c r="KO97" s="292"/>
      <c r="KP97" s="292"/>
      <c r="KQ97" s="292"/>
      <c r="KR97" s="292"/>
      <c r="KS97" s="292"/>
      <c r="KT97" s="292"/>
      <c r="KU97" s="292"/>
      <c r="KV97" s="292"/>
      <c r="KW97" s="292"/>
      <c r="KX97" s="292"/>
      <c r="KY97" s="292"/>
      <c r="KZ97" s="292"/>
      <c r="LA97" s="292"/>
      <c r="LB97" s="292"/>
      <c r="LC97" s="292"/>
      <c r="LD97" s="292"/>
      <c r="LE97" s="292"/>
      <c r="LF97" s="292"/>
      <c r="LG97" s="292"/>
      <c r="LH97" s="292"/>
      <c r="LI97" s="292"/>
      <c r="LJ97" s="292"/>
      <c r="LK97" s="292"/>
      <c r="LL97" s="292"/>
      <c r="LM97" s="292"/>
      <c r="LN97" s="292"/>
      <c r="LO97" s="292"/>
      <c r="LP97" s="292"/>
      <c r="LQ97" s="292"/>
      <c r="LR97" s="292"/>
      <c r="LS97" s="292"/>
      <c r="LT97" s="292"/>
      <c r="LU97" s="292"/>
      <c r="LV97" s="292"/>
      <c r="LW97" s="292"/>
      <c r="LX97" s="292"/>
      <c r="LY97" s="292"/>
      <c r="LZ97" s="292"/>
      <c r="MA97" s="292"/>
      <c r="MB97" s="292"/>
      <c r="MC97" s="292"/>
      <c r="MD97" s="292"/>
      <c r="ME97" s="292"/>
      <c r="MF97" s="292"/>
      <c r="MG97" s="292"/>
      <c r="MH97" s="292"/>
      <c r="MI97" s="292"/>
      <c r="MJ97" s="292"/>
      <c r="MK97" s="292"/>
      <c r="ML97" s="292"/>
      <c r="MM97" s="292"/>
      <c r="MN97" s="292"/>
      <c r="MO97" s="292"/>
      <c r="MP97" s="292"/>
      <c r="MQ97" s="292"/>
      <c r="MR97" s="292"/>
      <c r="MS97" s="292"/>
      <c r="MT97" s="292"/>
      <c r="MU97" s="292"/>
      <c r="MV97" s="292"/>
      <c r="MW97" s="292"/>
      <c r="MX97" s="292"/>
      <c r="MY97" s="292"/>
      <c r="MZ97" s="292"/>
      <c r="NA97" s="292"/>
      <c r="NB97" s="292"/>
      <c r="NC97" s="292"/>
      <c r="ND97" s="292"/>
      <c r="NE97" s="292"/>
      <c r="NF97" s="292"/>
      <c r="NG97" s="292"/>
      <c r="NH97" s="292"/>
      <c r="NI97" s="292"/>
      <c r="NJ97" s="292"/>
      <c r="NK97" s="292"/>
      <c r="NL97" s="292"/>
      <c r="NM97" s="292"/>
      <c r="NN97" s="292"/>
      <c r="NO97" s="292"/>
      <c r="NP97" s="292"/>
      <c r="NQ97" s="292"/>
      <c r="NR97" s="292"/>
      <c r="NS97" s="292"/>
      <c r="NT97" s="292"/>
      <c r="NU97" s="292"/>
      <c r="NV97" s="292"/>
      <c r="NW97" s="292"/>
      <c r="NX97" s="292"/>
      <c r="NY97" s="568"/>
      <c r="NZ97" s="568"/>
      <c r="OA97" s="575"/>
      <c r="OB97" s="575"/>
      <c r="OC97" s="578"/>
      <c r="OD97" s="578"/>
    </row>
    <row r="98" spans="1:394" s="20" customFormat="1" ht="10.5" customHeight="1">
      <c r="A98" s="23"/>
      <c r="D98" s="82"/>
      <c r="E98" s="82"/>
      <c r="F98" s="82"/>
      <c r="G98" s="73"/>
      <c r="H98" s="67"/>
      <c r="K98" s="17"/>
      <c r="L98" s="17"/>
      <c r="O98" s="17"/>
      <c r="Z98" s="17"/>
      <c r="AL98" s="17"/>
      <c r="AN98" s="17"/>
      <c r="AO98" s="17"/>
      <c r="AP98" s="42"/>
      <c r="AQ98" s="30"/>
      <c r="AR98" s="23"/>
      <c r="AS98" s="23"/>
      <c r="AT98" s="23"/>
      <c r="AU98" s="23"/>
      <c r="BB98" s="23"/>
      <c r="BM98" s="20" t="s">
        <v>0</v>
      </c>
      <c r="CA98" s="23"/>
      <c r="CB98" s="30"/>
      <c r="CC98" s="30"/>
      <c r="CG98" s="55" t="s">
        <v>73</v>
      </c>
      <c r="CH98" s="52"/>
      <c r="CI98" s="52">
        <v>0</v>
      </c>
      <c r="CJ98" s="52">
        <v>0.4</v>
      </c>
      <c r="CK98" s="52">
        <v>1</v>
      </c>
      <c r="CL98" s="52">
        <v>0.6</v>
      </c>
      <c r="CM98" s="52">
        <v>0.2</v>
      </c>
      <c r="CN98" s="48">
        <v>3</v>
      </c>
      <c r="CO98" s="209">
        <f t="shared" si="11"/>
        <v>5.2</v>
      </c>
      <c r="CZ98" s="22"/>
      <c r="EG98" s="292"/>
      <c r="EH98" s="292"/>
      <c r="EI98" s="292"/>
      <c r="EJ98" s="292"/>
      <c r="EK98" s="292"/>
      <c r="EL98" s="292"/>
      <c r="EM98" s="292"/>
      <c r="EN98" s="292"/>
      <c r="EO98" s="292"/>
      <c r="EP98" s="292"/>
      <c r="EQ98" s="292"/>
      <c r="ER98" s="292"/>
      <c r="ES98" s="292"/>
      <c r="ET98" s="292"/>
      <c r="EU98" s="292"/>
      <c r="EV98" s="292"/>
      <c r="EW98" s="292"/>
      <c r="EX98" s="292"/>
      <c r="FA98" s="292"/>
      <c r="FB98" s="292"/>
      <c r="FC98" s="292"/>
      <c r="FD98" s="292"/>
      <c r="FE98" s="292"/>
      <c r="FF98" s="292"/>
      <c r="FG98" s="292"/>
      <c r="FH98" s="292"/>
      <c r="FI98" s="292"/>
      <c r="FJ98" s="292"/>
      <c r="FK98" s="292"/>
      <c r="FL98" s="292"/>
      <c r="FM98" s="292"/>
      <c r="FN98" s="292"/>
      <c r="FO98" s="292"/>
      <c r="FP98" s="292"/>
      <c r="FQ98" s="292"/>
      <c r="FR98" s="292"/>
      <c r="FS98" s="292"/>
      <c r="FT98" s="292"/>
      <c r="FU98" s="292"/>
      <c r="FV98" s="292"/>
      <c r="FW98" s="292"/>
      <c r="FX98" s="292"/>
      <c r="FY98" s="292"/>
      <c r="FZ98" s="292"/>
      <c r="GA98" s="292"/>
      <c r="GB98" s="292"/>
      <c r="GC98" s="292"/>
      <c r="GD98" s="292"/>
      <c r="GE98" s="292"/>
      <c r="GF98" s="292"/>
      <c r="GG98" s="292"/>
      <c r="GH98" s="292"/>
      <c r="GI98" s="292"/>
      <c r="GJ98" s="292"/>
      <c r="GK98" s="292"/>
      <c r="GL98" s="292"/>
      <c r="GM98" s="292"/>
      <c r="GN98" s="292"/>
      <c r="GO98" s="292"/>
      <c r="GP98" s="292"/>
      <c r="GQ98" s="292"/>
      <c r="GR98" s="292"/>
      <c r="GS98" s="292"/>
      <c r="GT98" s="292"/>
      <c r="GU98" s="292"/>
      <c r="GV98" s="292"/>
      <c r="GW98" s="292"/>
      <c r="GX98" s="292"/>
      <c r="GY98" s="292"/>
      <c r="GZ98" s="292"/>
      <c r="HA98" s="292"/>
      <c r="HB98" s="292"/>
      <c r="HC98" s="292"/>
      <c r="HD98" s="292"/>
      <c r="HE98" s="292"/>
      <c r="HF98" s="292"/>
      <c r="HG98" s="292"/>
      <c r="HH98" s="292"/>
      <c r="HI98" s="292"/>
      <c r="HJ98" s="292"/>
      <c r="HK98" s="292"/>
      <c r="HL98" s="292"/>
      <c r="HM98" s="292"/>
      <c r="HN98" s="292"/>
      <c r="HO98" s="292"/>
      <c r="HP98" s="292"/>
      <c r="HQ98" s="292"/>
      <c r="HR98" s="292"/>
      <c r="HS98" s="292"/>
      <c r="HT98" s="292"/>
      <c r="HU98" s="292"/>
      <c r="HV98" s="292"/>
      <c r="HW98" s="292"/>
      <c r="HX98" s="292"/>
      <c r="HY98" s="292"/>
      <c r="HZ98" s="292"/>
      <c r="IA98" s="292"/>
      <c r="IB98" s="292"/>
      <c r="IC98" s="292"/>
      <c r="ID98" s="292"/>
      <c r="IE98" s="292"/>
      <c r="IF98" s="292"/>
      <c r="IG98" s="292"/>
      <c r="IH98" s="292"/>
      <c r="II98" s="292"/>
      <c r="IJ98" s="292"/>
      <c r="IK98" s="292"/>
      <c r="IL98" s="292"/>
      <c r="IM98" s="292"/>
      <c r="IN98" s="292"/>
      <c r="IO98" s="292"/>
      <c r="IP98" s="292"/>
      <c r="IQ98" s="292"/>
      <c r="IR98" s="292"/>
      <c r="IS98" s="292"/>
      <c r="IT98" s="292"/>
      <c r="IU98" s="292"/>
      <c r="IV98" s="292"/>
      <c r="IW98" s="292"/>
      <c r="IX98" s="292"/>
      <c r="IY98" s="292"/>
      <c r="IZ98" s="292"/>
      <c r="JA98" s="292"/>
      <c r="JB98" s="292"/>
      <c r="JC98" s="292"/>
      <c r="JD98" s="292"/>
      <c r="JE98" s="292"/>
      <c r="JF98" s="292"/>
      <c r="JG98" s="292"/>
      <c r="JH98" s="292"/>
      <c r="JI98" s="292"/>
      <c r="JJ98" s="292"/>
      <c r="JK98" s="292"/>
      <c r="JL98" s="292"/>
      <c r="JM98" s="292"/>
      <c r="JN98" s="292"/>
      <c r="JO98" s="292"/>
      <c r="JP98" s="292"/>
      <c r="JQ98" s="292"/>
      <c r="JR98" s="292"/>
      <c r="JS98" s="292"/>
      <c r="JT98" s="292"/>
      <c r="JU98" s="292"/>
      <c r="JV98" s="292"/>
      <c r="JW98" s="292"/>
      <c r="JX98" s="292"/>
      <c r="JY98" s="292"/>
      <c r="JZ98" s="292"/>
      <c r="KA98" s="292"/>
      <c r="KB98" s="292"/>
      <c r="KC98" s="292"/>
      <c r="KD98" s="292"/>
      <c r="KE98" s="292"/>
      <c r="KF98" s="292"/>
      <c r="KG98" s="292"/>
      <c r="KH98" s="292"/>
      <c r="KI98" s="292"/>
      <c r="KJ98" s="292"/>
      <c r="KK98" s="292"/>
      <c r="KL98" s="292"/>
      <c r="KM98" s="292"/>
      <c r="KN98" s="292"/>
      <c r="KO98" s="292"/>
      <c r="KP98" s="292"/>
      <c r="KQ98" s="292"/>
      <c r="KR98" s="292"/>
      <c r="KS98" s="292"/>
      <c r="KT98" s="292"/>
      <c r="KU98" s="292"/>
      <c r="KV98" s="292"/>
      <c r="KW98" s="292"/>
      <c r="KX98" s="292"/>
      <c r="KY98" s="292"/>
      <c r="KZ98" s="292"/>
      <c r="LA98" s="292"/>
      <c r="LB98" s="292"/>
      <c r="LC98" s="292"/>
      <c r="LD98" s="292"/>
      <c r="LE98" s="292"/>
      <c r="LF98" s="292"/>
      <c r="LG98" s="292"/>
      <c r="LH98" s="292"/>
      <c r="LI98" s="292"/>
      <c r="LJ98" s="292"/>
      <c r="LK98" s="292"/>
      <c r="LL98" s="292"/>
      <c r="LM98" s="292"/>
      <c r="LN98" s="292"/>
      <c r="LO98" s="292"/>
      <c r="LP98" s="292"/>
      <c r="LQ98" s="292"/>
      <c r="LR98" s="292"/>
      <c r="LS98" s="292"/>
      <c r="LT98" s="292"/>
      <c r="LU98" s="292"/>
      <c r="LV98" s="292"/>
      <c r="LW98" s="292"/>
      <c r="LX98" s="292"/>
      <c r="LY98" s="292"/>
      <c r="LZ98" s="292"/>
      <c r="MA98" s="292"/>
      <c r="MB98" s="292"/>
      <c r="MC98" s="292"/>
      <c r="MD98" s="292"/>
      <c r="ME98" s="292"/>
      <c r="MF98" s="292"/>
      <c r="MG98" s="292"/>
      <c r="MH98" s="292"/>
      <c r="MI98" s="292"/>
      <c r="MJ98" s="292"/>
      <c r="MK98" s="292"/>
      <c r="ML98" s="292"/>
      <c r="MM98" s="292"/>
      <c r="MN98" s="292"/>
      <c r="MO98" s="292"/>
      <c r="MP98" s="292"/>
      <c r="MQ98" s="292"/>
      <c r="MR98" s="292"/>
      <c r="MS98" s="292"/>
      <c r="MT98" s="292"/>
      <c r="MU98" s="292"/>
      <c r="MV98" s="292"/>
      <c r="MW98" s="292"/>
      <c r="MX98" s="292"/>
      <c r="MY98" s="292"/>
      <c r="MZ98" s="292"/>
      <c r="NA98" s="292"/>
      <c r="NB98" s="292"/>
      <c r="NC98" s="292"/>
      <c r="ND98" s="292"/>
      <c r="NE98" s="292"/>
      <c r="NF98" s="292"/>
      <c r="NG98" s="292"/>
      <c r="NH98" s="292"/>
      <c r="NI98" s="292"/>
      <c r="NJ98" s="292"/>
      <c r="NK98" s="292"/>
      <c r="NL98" s="292"/>
      <c r="NM98" s="292"/>
      <c r="NN98" s="292"/>
      <c r="NO98" s="292"/>
      <c r="NP98" s="292"/>
      <c r="NQ98" s="292"/>
      <c r="NR98" s="292"/>
      <c r="NS98" s="292"/>
      <c r="NT98" s="292"/>
      <c r="NU98" s="292"/>
      <c r="NV98" s="292"/>
      <c r="NW98" s="292"/>
      <c r="NX98" s="292"/>
      <c r="NY98" s="568"/>
      <c r="NZ98" s="568"/>
      <c r="OA98" s="575"/>
      <c r="OB98" s="575"/>
      <c r="OC98" s="578"/>
      <c r="OD98" s="578"/>
    </row>
    <row r="99" spans="1:394" s="20" customFormat="1" ht="10.5" customHeight="1">
      <c r="D99" s="82"/>
      <c r="E99" s="82"/>
      <c r="F99" s="82"/>
      <c r="G99" s="44"/>
      <c r="H99" s="67"/>
      <c r="K99" s="17"/>
      <c r="L99" s="17"/>
      <c r="O99" s="17"/>
      <c r="Z99" s="17"/>
      <c r="AL99" s="17"/>
      <c r="AN99" s="17"/>
      <c r="AO99" s="17"/>
      <c r="AQ99" s="23"/>
      <c r="AR99" s="23"/>
      <c r="AS99" s="23"/>
      <c r="AT99" s="23"/>
      <c r="AU99" s="23"/>
      <c r="BB99" s="23"/>
      <c r="BM99" s="23"/>
      <c r="BO99" s="23"/>
      <c r="BP99" s="23"/>
      <c r="BQ99" s="23"/>
      <c r="BT99" s="29"/>
      <c r="BU99" s="29"/>
      <c r="BV99" s="29"/>
      <c r="BW99" s="29"/>
      <c r="BX99" s="36"/>
      <c r="BY99" s="36"/>
      <c r="BZ99" s="40"/>
      <c r="CA99" s="23"/>
      <c r="CB99" s="292"/>
      <c r="CG99" s="55" t="s">
        <v>70</v>
      </c>
      <c r="CH99" s="52"/>
      <c r="CI99" s="52">
        <v>0</v>
      </c>
      <c r="CJ99" s="52">
        <v>0</v>
      </c>
      <c r="CK99" s="52">
        <v>0</v>
      </c>
      <c r="CL99" s="52">
        <v>0</v>
      </c>
      <c r="CM99" s="52">
        <v>0</v>
      </c>
      <c r="CN99" s="48">
        <v>1.88</v>
      </c>
      <c r="CO99" s="209">
        <f t="shared" si="11"/>
        <v>1.88</v>
      </c>
      <c r="CZ99" s="22"/>
      <c r="EG99" s="292"/>
      <c r="EH99" s="292"/>
      <c r="EI99" s="292"/>
      <c r="EJ99" s="292"/>
      <c r="EK99" s="292"/>
      <c r="EL99" s="292"/>
      <c r="EM99" s="292"/>
      <c r="EN99" s="292"/>
      <c r="EO99" s="292"/>
      <c r="EP99" s="292"/>
      <c r="EQ99" s="292"/>
      <c r="ER99" s="292"/>
      <c r="ES99" s="292"/>
      <c r="ET99" s="292"/>
      <c r="EU99" s="292"/>
      <c r="EV99" s="292"/>
      <c r="EW99" s="292"/>
      <c r="EX99" s="292"/>
      <c r="FA99" s="292"/>
      <c r="FB99" s="292"/>
      <c r="FC99" s="292"/>
      <c r="FD99" s="292"/>
      <c r="FE99" s="292"/>
      <c r="FF99" s="292"/>
      <c r="FG99" s="292"/>
      <c r="FH99" s="292"/>
      <c r="FI99" s="292"/>
      <c r="FJ99" s="292"/>
      <c r="FK99" s="292"/>
      <c r="FL99" s="292"/>
      <c r="FM99" s="292"/>
      <c r="FN99" s="292"/>
      <c r="FO99" s="292"/>
      <c r="FP99" s="292"/>
      <c r="FQ99" s="292"/>
      <c r="FR99" s="292"/>
      <c r="FS99" s="292"/>
      <c r="FT99" s="292"/>
      <c r="FU99" s="292"/>
      <c r="FV99" s="292"/>
      <c r="FW99" s="292"/>
      <c r="FX99" s="292"/>
      <c r="FY99" s="292"/>
      <c r="FZ99" s="292"/>
      <c r="GA99" s="292"/>
      <c r="GB99" s="292"/>
      <c r="GC99" s="292"/>
      <c r="GD99" s="292"/>
      <c r="GE99" s="292"/>
      <c r="GF99" s="292"/>
      <c r="GG99" s="292"/>
      <c r="GH99" s="292"/>
      <c r="GI99" s="292"/>
      <c r="GJ99" s="292"/>
      <c r="GK99" s="292"/>
      <c r="GL99" s="292"/>
      <c r="GM99" s="292"/>
      <c r="GN99" s="292"/>
      <c r="GO99" s="292"/>
      <c r="GP99" s="292"/>
      <c r="GQ99" s="292"/>
      <c r="GR99" s="292"/>
      <c r="GS99" s="292"/>
      <c r="GT99" s="292"/>
      <c r="GU99" s="292"/>
      <c r="GV99" s="292"/>
      <c r="GW99" s="292"/>
      <c r="GX99" s="292"/>
      <c r="GY99" s="292"/>
      <c r="GZ99" s="292"/>
      <c r="HA99" s="292"/>
      <c r="HB99" s="292"/>
      <c r="HC99" s="292"/>
      <c r="HD99" s="292"/>
      <c r="HE99" s="292"/>
      <c r="HF99" s="292"/>
      <c r="HG99" s="292"/>
      <c r="HH99" s="292"/>
      <c r="HI99" s="292"/>
      <c r="HJ99" s="292"/>
      <c r="HK99" s="292"/>
      <c r="HL99" s="292"/>
      <c r="HM99" s="292"/>
      <c r="HN99" s="292"/>
      <c r="HO99" s="292"/>
      <c r="HP99" s="292"/>
      <c r="HQ99" s="292"/>
      <c r="HR99" s="292"/>
      <c r="HS99" s="292"/>
      <c r="HT99" s="292"/>
      <c r="HU99" s="292"/>
      <c r="HV99" s="292"/>
      <c r="HW99" s="292"/>
      <c r="HX99" s="292"/>
      <c r="HY99" s="292"/>
      <c r="HZ99" s="292"/>
      <c r="IA99" s="292"/>
      <c r="IB99" s="292"/>
      <c r="IC99" s="292"/>
      <c r="ID99" s="292"/>
      <c r="IE99" s="292"/>
      <c r="IF99" s="292"/>
      <c r="IG99" s="292"/>
      <c r="IH99" s="292"/>
      <c r="II99" s="292"/>
      <c r="IJ99" s="292"/>
      <c r="IK99" s="292"/>
      <c r="IL99" s="292"/>
      <c r="IM99" s="292"/>
      <c r="IN99" s="292"/>
      <c r="IO99" s="292"/>
      <c r="IP99" s="292"/>
      <c r="IQ99" s="292"/>
      <c r="IR99" s="292"/>
      <c r="IS99" s="292"/>
      <c r="IT99" s="292"/>
      <c r="IU99" s="292"/>
      <c r="IV99" s="292"/>
      <c r="IW99" s="292"/>
      <c r="IX99" s="292"/>
      <c r="IY99" s="292"/>
      <c r="IZ99" s="292"/>
      <c r="JA99" s="292"/>
      <c r="JB99" s="292"/>
      <c r="JC99" s="292"/>
      <c r="JD99" s="292"/>
      <c r="JE99" s="292"/>
      <c r="JF99" s="292"/>
      <c r="JG99" s="292"/>
      <c r="JH99" s="292"/>
      <c r="JI99" s="292"/>
      <c r="JJ99" s="292"/>
      <c r="JK99" s="292"/>
      <c r="JL99" s="292"/>
      <c r="JM99" s="292"/>
      <c r="JN99" s="292"/>
      <c r="JO99" s="292"/>
      <c r="JP99" s="292"/>
      <c r="JQ99" s="292"/>
      <c r="JR99" s="292"/>
      <c r="JS99" s="292"/>
      <c r="JT99" s="292"/>
      <c r="JU99" s="292"/>
      <c r="JV99" s="292"/>
      <c r="JW99" s="292"/>
      <c r="JX99" s="292"/>
      <c r="JY99" s="292"/>
      <c r="JZ99" s="292"/>
      <c r="KA99" s="292"/>
      <c r="KB99" s="292"/>
      <c r="KC99" s="292"/>
      <c r="KD99" s="292"/>
      <c r="KE99" s="292"/>
      <c r="KF99" s="292"/>
      <c r="KG99" s="292"/>
      <c r="KH99" s="292"/>
      <c r="KI99" s="292"/>
      <c r="KJ99" s="292"/>
      <c r="KK99" s="292"/>
      <c r="KL99" s="292"/>
      <c r="KM99" s="292"/>
      <c r="KN99" s="292"/>
      <c r="KO99" s="292"/>
      <c r="KP99" s="292"/>
      <c r="KQ99" s="292"/>
      <c r="KR99" s="292"/>
      <c r="KS99" s="292"/>
      <c r="KT99" s="292"/>
      <c r="KU99" s="292"/>
      <c r="KV99" s="292"/>
      <c r="KW99" s="292"/>
      <c r="KX99" s="292"/>
      <c r="KY99" s="292"/>
      <c r="KZ99" s="292"/>
      <c r="LA99" s="292"/>
      <c r="LB99" s="292"/>
      <c r="LC99" s="292"/>
      <c r="LD99" s="292"/>
      <c r="LE99" s="292"/>
      <c r="LF99" s="292"/>
      <c r="LG99" s="292"/>
      <c r="LH99" s="292"/>
      <c r="LI99" s="292"/>
      <c r="LJ99" s="292"/>
      <c r="LK99" s="292"/>
      <c r="LL99" s="292"/>
      <c r="LM99" s="292"/>
      <c r="LN99" s="292"/>
      <c r="LO99" s="292"/>
      <c r="LP99" s="292"/>
      <c r="LQ99" s="292"/>
      <c r="LR99" s="292"/>
      <c r="LS99" s="292"/>
      <c r="LT99" s="292"/>
      <c r="LU99" s="292"/>
      <c r="LV99" s="292"/>
      <c r="LW99" s="292"/>
      <c r="LX99" s="292"/>
      <c r="LY99" s="292"/>
      <c r="LZ99" s="292"/>
      <c r="MA99" s="292"/>
      <c r="MB99" s="292"/>
      <c r="MC99" s="292"/>
      <c r="MD99" s="292"/>
      <c r="ME99" s="292"/>
      <c r="MF99" s="292"/>
      <c r="MG99" s="292"/>
      <c r="MH99" s="292"/>
      <c r="MI99" s="292"/>
      <c r="MJ99" s="292"/>
      <c r="MK99" s="292"/>
      <c r="ML99" s="292"/>
      <c r="MM99" s="292"/>
      <c r="MN99" s="292"/>
      <c r="MO99" s="292"/>
      <c r="MP99" s="292"/>
      <c r="MQ99" s="292"/>
      <c r="MR99" s="292"/>
      <c r="MS99" s="292"/>
      <c r="MT99" s="292"/>
      <c r="MU99" s="292"/>
      <c r="MV99" s="292"/>
      <c r="MW99" s="292"/>
      <c r="MX99" s="292"/>
      <c r="MY99" s="292"/>
      <c r="MZ99" s="292"/>
      <c r="NA99" s="292"/>
      <c r="NB99" s="292"/>
      <c r="NC99" s="292"/>
      <c r="ND99" s="292"/>
      <c r="NE99" s="292"/>
      <c r="NF99" s="292"/>
      <c r="NG99" s="292"/>
      <c r="NH99" s="292"/>
      <c r="NI99" s="292"/>
      <c r="NJ99" s="292"/>
      <c r="NK99" s="292"/>
      <c r="NL99" s="292"/>
      <c r="NM99" s="292"/>
      <c r="NN99" s="292"/>
      <c r="NO99" s="292"/>
      <c r="NP99" s="292"/>
      <c r="NQ99" s="292"/>
      <c r="NR99" s="292"/>
      <c r="NS99" s="292"/>
      <c r="NT99" s="292"/>
      <c r="NU99" s="292"/>
      <c r="NV99" s="292"/>
      <c r="NW99" s="292"/>
      <c r="NX99" s="292"/>
      <c r="NY99" s="568"/>
      <c r="NZ99" s="568"/>
      <c r="OA99" s="575"/>
      <c r="OB99" s="575"/>
      <c r="OC99" s="578"/>
      <c r="OD99" s="578"/>
    </row>
    <row r="100" spans="1:394" s="20" customFormat="1" ht="10.5" customHeight="1">
      <c r="D100" s="82"/>
      <c r="E100" s="82"/>
      <c r="F100" s="82"/>
      <c r="G100" s="73"/>
      <c r="H100" s="67"/>
      <c r="K100" s="17"/>
      <c r="L100" s="17"/>
      <c r="O100" s="17"/>
      <c r="Z100" s="17"/>
      <c r="AL100" s="17"/>
      <c r="AN100" s="17"/>
      <c r="AO100" s="17"/>
      <c r="AP100" s="50"/>
      <c r="AQ100" s="23"/>
      <c r="AR100" s="23"/>
      <c r="AS100" s="23"/>
      <c r="AT100" s="23"/>
      <c r="AU100" s="23"/>
      <c r="BB100" s="23"/>
      <c r="BM100" s="23"/>
      <c r="BP100" s="23"/>
      <c r="BQ100" s="23"/>
      <c r="BT100" s="29"/>
      <c r="BU100" s="29"/>
      <c r="BV100" s="29"/>
      <c r="BW100" s="29"/>
      <c r="BX100" s="36"/>
      <c r="BY100" s="36"/>
      <c r="BZ100" s="40"/>
      <c r="CA100" s="23"/>
      <c r="CB100" s="292"/>
      <c r="CG100" s="55" t="s">
        <v>65</v>
      </c>
      <c r="CH100" s="52"/>
      <c r="CI100" s="52">
        <v>0</v>
      </c>
      <c r="CJ100" s="52">
        <v>0</v>
      </c>
      <c r="CK100" s="52">
        <v>0</v>
      </c>
      <c r="CL100" s="52">
        <v>0</v>
      </c>
      <c r="CM100" s="52">
        <v>0</v>
      </c>
      <c r="CN100" s="48">
        <v>0</v>
      </c>
      <c r="CO100" s="209">
        <f t="shared" si="11"/>
        <v>0</v>
      </c>
      <c r="CZ100" s="22"/>
      <c r="EG100" s="292"/>
      <c r="EH100" s="292"/>
      <c r="EI100" s="292"/>
      <c r="EJ100" s="292"/>
      <c r="EK100" s="292"/>
      <c r="EL100" s="292"/>
      <c r="EM100" s="292"/>
      <c r="EN100" s="292"/>
      <c r="EO100" s="292"/>
      <c r="EP100" s="292"/>
      <c r="EQ100" s="292"/>
      <c r="ER100" s="292"/>
      <c r="ES100" s="292"/>
      <c r="ET100" s="292"/>
      <c r="EU100" s="292"/>
      <c r="EV100" s="292"/>
      <c r="EW100" s="292"/>
      <c r="EX100" s="292"/>
      <c r="FA100" s="292"/>
      <c r="FB100" s="292"/>
      <c r="FC100" s="292"/>
      <c r="FD100" s="292"/>
      <c r="FE100" s="292"/>
      <c r="FF100" s="292"/>
      <c r="FG100" s="292"/>
      <c r="FH100" s="292"/>
      <c r="FI100" s="292"/>
      <c r="FJ100" s="292"/>
      <c r="FK100" s="292"/>
      <c r="FL100" s="292"/>
      <c r="FM100" s="292"/>
      <c r="FN100" s="292"/>
      <c r="FO100" s="292"/>
      <c r="FP100" s="292"/>
      <c r="FQ100" s="292"/>
      <c r="FR100" s="292"/>
      <c r="FS100" s="292"/>
      <c r="FT100" s="292"/>
      <c r="FU100" s="292"/>
      <c r="FV100" s="292"/>
      <c r="FW100" s="292"/>
      <c r="FX100" s="292"/>
      <c r="FY100" s="292"/>
      <c r="FZ100" s="292"/>
      <c r="GA100" s="292"/>
      <c r="GB100" s="292"/>
      <c r="GC100" s="292"/>
      <c r="GD100" s="292"/>
      <c r="GE100" s="292"/>
      <c r="GF100" s="292"/>
      <c r="GG100" s="292"/>
      <c r="GH100" s="292"/>
      <c r="GI100" s="292"/>
      <c r="GJ100" s="292"/>
      <c r="GK100" s="292"/>
      <c r="GL100" s="292"/>
      <c r="GM100" s="292"/>
      <c r="GN100" s="292"/>
      <c r="GO100" s="292"/>
      <c r="GP100" s="292"/>
      <c r="GQ100" s="292"/>
      <c r="GR100" s="292"/>
      <c r="GS100" s="292"/>
      <c r="GT100" s="292"/>
      <c r="GU100" s="292"/>
      <c r="GV100" s="292"/>
      <c r="GW100" s="292"/>
      <c r="GX100" s="292"/>
      <c r="GY100" s="292"/>
      <c r="GZ100" s="292"/>
      <c r="HA100" s="292"/>
      <c r="HB100" s="292"/>
      <c r="HC100" s="292"/>
      <c r="HD100" s="292"/>
      <c r="HE100" s="292"/>
      <c r="HF100" s="292"/>
      <c r="HG100" s="292"/>
      <c r="HH100" s="292"/>
      <c r="HI100" s="292"/>
      <c r="HJ100" s="292"/>
      <c r="HK100" s="292"/>
      <c r="HL100" s="292"/>
      <c r="HM100" s="292"/>
      <c r="HN100" s="292"/>
      <c r="HO100" s="292"/>
      <c r="HP100" s="292"/>
      <c r="HQ100" s="292"/>
      <c r="HR100" s="292"/>
      <c r="HS100" s="292"/>
      <c r="HT100" s="292"/>
      <c r="HU100" s="292"/>
      <c r="HV100" s="292"/>
      <c r="HW100" s="292"/>
      <c r="HX100" s="292"/>
      <c r="HY100" s="292"/>
      <c r="HZ100" s="292"/>
      <c r="IA100" s="292"/>
      <c r="IB100" s="292"/>
      <c r="IC100" s="292"/>
      <c r="ID100" s="292"/>
      <c r="IE100" s="292"/>
      <c r="IF100" s="292"/>
      <c r="IG100" s="292"/>
      <c r="IH100" s="292"/>
      <c r="II100" s="292"/>
      <c r="IJ100" s="292"/>
      <c r="IK100" s="292"/>
      <c r="IL100" s="292"/>
      <c r="IM100" s="292"/>
      <c r="IN100" s="292"/>
      <c r="IO100" s="292"/>
      <c r="IP100" s="292"/>
      <c r="IQ100" s="292"/>
      <c r="IR100" s="292"/>
      <c r="IS100" s="292"/>
      <c r="IT100" s="292"/>
      <c r="IU100" s="292"/>
      <c r="IV100" s="292"/>
      <c r="IW100" s="292"/>
      <c r="IX100" s="292"/>
      <c r="IY100" s="292"/>
      <c r="IZ100" s="292"/>
      <c r="JA100" s="292"/>
      <c r="JB100" s="292"/>
      <c r="JC100" s="292"/>
      <c r="JD100" s="292"/>
      <c r="JE100" s="292"/>
      <c r="JF100" s="292"/>
      <c r="JG100" s="292"/>
      <c r="JH100" s="292"/>
      <c r="JI100" s="292"/>
      <c r="JJ100" s="292"/>
      <c r="JK100" s="292"/>
      <c r="JL100" s="292"/>
      <c r="JM100" s="292"/>
      <c r="JN100" s="292"/>
      <c r="JO100" s="292"/>
      <c r="JP100" s="292"/>
      <c r="JQ100" s="292"/>
      <c r="JR100" s="292"/>
      <c r="JS100" s="292"/>
      <c r="JT100" s="292"/>
      <c r="JU100" s="292"/>
      <c r="JV100" s="292"/>
      <c r="JW100" s="292"/>
      <c r="JX100" s="292"/>
      <c r="JY100" s="292"/>
      <c r="JZ100" s="292"/>
      <c r="KA100" s="292"/>
      <c r="KB100" s="292"/>
      <c r="KC100" s="292"/>
      <c r="KD100" s="292"/>
      <c r="KE100" s="292"/>
      <c r="KF100" s="292"/>
      <c r="KG100" s="292"/>
      <c r="KH100" s="292"/>
      <c r="KI100" s="292"/>
      <c r="KJ100" s="292"/>
      <c r="KK100" s="292"/>
      <c r="KL100" s="292"/>
      <c r="KM100" s="292"/>
      <c r="KN100" s="292"/>
      <c r="KO100" s="292"/>
      <c r="KP100" s="292"/>
      <c r="KQ100" s="292"/>
      <c r="KR100" s="292"/>
      <c r="KS100" s="292"/>
      <c r="KT100" s="292"/>
      <c r="KU100" s="292"/>
      <c r="KV100" s="292"/>
      <c r="KW100" s="292"/>
      <c r="KX100" s="292"/>
      <c r="KY100" s="292"/>
      <c r="KZ100" s="292"/>
      <c r="LA100" s="292"/>
      <c r="LB100" s="292"/>
      <c r="LC100" s="292"/>
      <c r="LD100" s="292"/>
      <c r="LE100" s="292"/>
      <c r="LF100" s="292"/>
      <c r="LG100" s="292"/>
      <c r="LH100" s="292"/>
      <c r="LI100" s="292"/>
      <c r="LJ100" s="292"/>
      <c r="LK100" s="292"/>
      <c r="LL100" s="292"/>
      <c r="LM100" s="292"/>
      <c r="LN100" s="292"/>
      <c r="LO100" s="292"/>
      <c r="LP100" s="292"/>
      <c r="LQ100" s="292"/>
      <c r="LR100" s="292"/>
      <c r="LS100" s="292"/>
      <c r="LT100" s="292"/>
      <c r="LU100" s="292"/>
      <c r="LV100" s="292"/>
      <c r="LW100" s="292"/>
      <c r="LX100" s="292"/>
      <c r="LY100" s="292"/>
      <c r="LZ100" s="292"/>
      <c r="MA100" s="292"/>
      <c r="MB100" s="292"/>
      <c r="MC100" s="292"/>
      <c r="MD100" s="292"/>
      <c r="ME100" s="292"/>
      <c r="MF100" s="292"/>
      <c r="MG100" s="292"/>
      <c r="MH100" s="292"/>
      <c r="MI100" s="292"/>
      <c r="MJ100" s="292"/>
      <c r="MK100" s="292"/>
      <c r="ML100" s="292"/>
      <c r="MM100" s="292"/>
      <c r="MN100" s="292"/>
      <c r="MO100" s="292"/>
      <c r="MP100" s="292"/>
      <c r="MQ100" s="292"/>
      <c r="MR100" s="292"/>
      <c r="MS100" s="292"/>
      <c r="MT100" s="292"/>
      <c r="MU100" s="292"/>
      <c r="MV100" s="292"/>
      <c r="MW100" s="292"/>
      <c r="MX100" s="292"/>
      <c r="MY100" s="292"/>
      <c r="MZ100" s="292"/>
      <c r="NA100" s="292"/>
      <c r="NB100" s="292"/>
      <c r="NC100" s="292"/>
      <c r="ND100" s="292"/>
      <c r="NE100" s="292"/>
      <c r="NF100" s="292"/>
      <c r="NG100" s="292"/>
      <c r="NH100" s="292"/>
      <c r="NI100" s="292"/>
      <c r="NJ100" s="292"/>
      <c r="NK100" s="292"/>
      <c r="NL100" s="292"/>
      <c r="NM100" s="292"/>
      <c r="NN100" s="292"/>
      <c r="NO100" s="292"/>
      <c r="NP100" s="292"/>
      <c r="NQ100" s="292"/>
      <c r="NR100" s="292"/>
      <c r="NS100" s="292"/>
      <c r="NT100" s="292"/>
      <c r="NU100" s="292"/>
      <c r="NV100" s="292"/>
      <c r="NW100" s="292"/>
      <c r="NX100" s="292"/>
      <c r="NY100" s="568"/>
      <c r="NZ100" s="568"/>
      <c r="OA100" s="575"/>
      <c r="OB100" s="575"/>
      <c r="OC100" s="578"/>
      <c r="OD100" s="578"/>
    </row>
    <row r="101" spans="1:394" s="20" customFormat="1" ht="10.5" customHeight="1">
      <c r="D101" s="82"/>
      <c r="E101" s="82"/>
      <c r="F101" s="82"/>
      <c r="G101" s="44"/>
      <c r="H101" s="67"/>
      <c r="K101" s="17"/>
      <c r="L101" s="17"/>
      <c r="O101" s="17"/>
      <c r="Z101" s="17"/>
      <c r="AL101" s="17"/>
      <c r="AN101" s="17"/>
      <c r="AO101" s="17"/>
      <c r="AP101" s="23"/>
      <c r="AQ101" s="23"/>
      <c r="AR101" s="23"/>
      <c r="AS101" s="23"/>
      <c r="AT101" s="23"/>
      <c r="AU101" s="23"/>
      <c r="AV101" s="23"/>
      <c r="AW101" s="23"/>
      <c r="AX101" s="23"/>
      <c r="AY101" s="23"/>
      <c r="AZ101" s="23"/>
      <c r="BA101" s="38"/>
      <c r="BB101" s="23"/>
      <c r="BM101" s="23"/>
      <c r="BN101" s="34"/>
      <c r="BO101" s="23"/>
      <c r="BP101" s="23"/>
      <c r="BQ101" s="23"/>
      <c r="BR101" s="23"/>
      <c r="BS101" s="23"/>
      <c r="BT101" s="23"/>
      <c r="BU101" s="23"/>
      <c r="BV101" s="23"/>
      <c r="BW101" s="23"/>
      <c r="BX101" s="23"/>
      <c r="BY101" s="23"/>
      <c r="BZ101" s="23"/>
      <c r="CA101" s="23"/>
      <c r="CB101" s="292"/>
      <c r="CG101" s="55" t="s">
        <v>212</v>
      </c>
      <c r="CH101" s="52"/>
      <c r="CI101" s="52">
        <v>0</v>
      </c>
      <c r="CJ101" s="52">
        <v>0</v>
      </c>
      <c r="CK101" s="52">
        <v>0</v>
      </c>
      <c r="CL101" s="52">
        <v>0</v>
      </c>
      <c r="CM101" s="52">
        <v>1.296</v>
      </c>
      <c r="CN101" s="48">
        <v>0</v>
      </c>
      <c r="CO101" s="209">
        <f t="shared" si="11"/>
        <v>1.296</v>
      </c>
      <c r="CZ101" s="22"/>
      <c r="EG101" s="292"/>
      <c r="EH101" s="292"/>
      <c r="EI101" s="292"/>
      <c r="EJ101" s="292"/>
      <c r="EK101" s="292"/>
      <c r="EL101" s="292"/>
      <c r="EM101" s="292"/>
      <c r="EN101" s="292"/>
      <c r="EO101" s="292"/>
      <c r="EP101" s="292"/>
      <c r="EQ101" s="292"/>
      <c r="ER101" s="292"/>
      <c r="ES101" s="292"/>
      <c r="ET101" s="292"/>
      <c r="EU101" s="292"/>
      <c r="EV101" s="292"/>
      <c r="EW101" s="292"/>
      <c r="EX101" s="292"/>
      <c r="FA101" s="292"/>
      <c r="FB101" s="292"/>
      <c r="FC101" s="292"/>
      <c r="FD101" s="292"/>
      <c r="FE101" s="292"/>
      <c r="FF101" s="292"/>
      <c r="FG101" s="292"/>
      <c r="FH101" s="292"/>
      <c r="FI101" s="292"/>
      <c r="FJ101" s="292"/>
      <c r="FK101" s="292"/>
      <c r="FL101" s="292"/>
      <c r="FM101" s="292"/>
      <c r="FN101" s="292"/>
      <c r="FO101" s="292"/>
      <c r="FP101" s="292"/>
      <c r="FQ101" s="292"/>
      <c r="FR101" s="292"/>
      <c r="FS101" s="292"/>
      <c r="FT101" s="292"/>
      <c r="FU101" s="292"/>
      <c r="FV101" s="292"/>
      <c r="FW101" s="292"/>
      <c r="FX101" s="292"/>
      <c r="FY101" s="292"/>
      <c r="FZ101" s="292"/>
      <c r="GA101" s="292"/>
      <c r="GB101" s="292"/>
      <c r="GC101" s="292"/>
      <c r="GD101" s="292"/>
      <c r="GE101" s="292"/>
      <c r="GF101" s="292"/>
      <c r="GG101" s="292"/>
      <c r="GH101" s="292"/>
      <c r="GI101" s="292"/>
      <c r="GJ101" s="292"/>
      <c r="GK101" s="292"/>
      <c r="GL101" s="292"/>
      <c r="GM101" s="292"/>
      <c r="GN101" s="292"/>
      <c r="GO101" s="292"/>
      <c r="GP101" s="292"/>
      <c r="GQ101" s="292"/>
      <c r="GR101" s="292"/>
      <c r="GS101" s="292"/>
      <c r="GT101" s="292"/>
      <c r="GU101" s="292"/>
      <c r="GV101" s="292"/>
      <c r="GW101" s="292"/>
      <c r="GX101" s="292"/>
      <c r="GY101" s="292"/>
      <c r="GZ101" s="292"/>
      <c r="HA101" s="292"/>
      <c r="HB101" s="292"/>
      <c r="HC101" s="292"/>
      <c r="HD101" s="292"/>
      <c r="HE101" s="292"/>
      <c r="HF101" s="292"/>
      <c r="HG101" s="292"/>
      <c r="HH101" s="292"/>
      <c r="HI101" s="292"/>
      <c r="HJ101" s="292"/>
      <c r="HK101" s="292"/>
      <c r="HL101" s="292"/>
      <c r="HM101" s="292"/>
      <c r="HN101" s="292"/>
      <c r="HO101" s="292"/>
      <c r="HP101" s="292"/>
      <c r="HQ101" s="292"/>
      <c r="HR101" s="292"/>
      <c r="HS101" s="292"/>
      <c r="HT101" s="292"/>
      <c r="HU101" s="292"/>
      <c r="HV101" s="292"/>
      <c r="HW101" s="292"/>
      <c r="HX101" s="292"/>
      <c r="HY101" s="292"/>
      <c r="HZ101" s="292"/>
      <c r="IA101" s="292"/>
      <c r="IB101" s="292"/>
      <c r="IC101" s="292"/>
      <c r="ID101" s="292"/>
      <c r="IE101" s="292"/>
      <c r="IF101" s="292"/>
      <c r="IG101" s="292"/>
      <c r="IH101" s="292"/>
      <c r="II101" s="292"/>
      <c r="IJ101" s="292"/>
      <c r="IK101" s="292"/>
      <c r="IL101" s="292"/>
      <c r="IM101" s="292"/>
      <c r="IN101" s="292"/>
      <c r="IO101" s="292"/>
      <c r="IP101" s="292"/>
      <c r="IQ101" s="292"/>
      <c r="IR101" s="292"/>
      <c r="IS101" s="292"/>
      <c r="IT101" s="292"/>
      <c r="IU101" s="292"/>
      <c r="IV101" s="292"/>
      <c r="IW101" s="292"/>
      <c r="IX101" s="292"/>
      <c r="IY101" s="292"/>
      <c r="IZ101" s="292"/>
      <c r="JA101" s="292"/>
      <c r="JB101" s="292"/>
      <c r="JC101" s="292"/>
      <c r="JD101" s="292"/>
      <c r="JE101" s="292"/>
      <c r="JF101" s="292"/>
      <c r="JG101" s="292"/>
      <c r="JH101" s="292"/>
      <c r="JI101" s="292"/>
      <c r="JJ101" s="292"/>
      <c r="JK101" s="292"/>
      <c r="JL101" s="292"/>
      <c r="JM101" s="292"/>
      <c r="JN101" s="292"/>
      <c r="JO101" s="292"/>
      <c r="JP101" s="292"/>
      <c r="JQ101" s="292"/>
      <c r="JR101" s="292"/>
      <c r="JS101" s="292"/>
      <c r="JT101" s="292"/>
      <c r="JU101" s="292"/>
      <c r="JV101" s="292"/>
      <c r="JW101" s="292"/>
      <c r="JX101" s="292"/>
      <c r="JY101" s="292"/>
      <c r="JZ101" s="292"/>
      <c r="KA101" s="292"/>
      <c r="KB101" s="292"/>
      <c r="KC101" s="292"/>
      <c r="KD101" s="292"/>
      <c r="KE101" s="292"/>
      <c r="KF101" s="292"/>
      <c r="KG101" s="292"/>
      <c r="KH101" s="292"/>
      <c r="KI101" s="292"/>
      <c r="KJ101" s="292"/>
      <c r="KK101" s="292"/>
      <c r="KL101" s="292"/>
      <c r="KM101" s="292"/>
      <c r="KN101" s="292"/>
      <c r="KO101" s="292"/>
      <c r="KP101" s="292"/>
      <c r="KQ101" s="292"/>
      <c r="KR101" s="292"/>
      <c r="KS101" s="292"/>
      <c r="KT101" s="292"/>
      <c r="KU101" s="292"/>
      <c r="KV101" s="292"/>
      <c r="KW101" s="292"/>
      <c r="KX101" s="292"/>
      <c r="KY101" s="292"/>
      <c r="KZ101" s="292"/>
      <c r="LA101" s="292"/>
      <c r="LB101" s="292"/>
      <c r="LC101" s="292"/>
      <c r="LD101" s="292"/>
      <c r="LE101" s="292"/>
      <c r="LF101" s="292"/>
      <c r="LG101" s="292"/>
      <c r="LH101" s="292"/>
      <c r="LI101" s="292"/>
      <c r="LJ101" s="292"/>
      <c r="LK101" s="292"/>
      <c r="LL101" s="292"/>
      <c r="LM101" s="292"/>
      <c r="LN101" s="292"/>
      <c r="LO101" s="292"/>
      <c r="LP101" s="292"/>
      <c r="LQ101" s="292"/>
      <c r="LR101" s="292"/>
      <c r="LS101" s="292"/>
      <c r="LT101" s="292"/>
      <c r="LU101" s="292"/>
      <c r="LV101" s="292"/>
      <c r="LW101" s="292"/>
      <c r="LX101" s="292"/>
      <c r="LY101" s="292"/>
      <c r="LZ101" s="292"/>
      <c r="MA101" s="292"/>
      <c r="MB101" s="292"/>
      <c r="MC101" s="292"/>
      <c r="MD101" s="292"/>
      <c r="ME101" s="292"/>
      <c r="MF101" s="292"/>
      <c r="MG101" s="292"/>
      <c r="MH101" s="292"/>
      <c r="MI101" s="292"/>
      <c r="MJ101" s="292"/>
      <c r="MK101" s="292"/>
      <c r="ML101" s="292"/>
      <c r="MM101" s="292"/>
      <c r="MN101" s="292"/>
      <c r="MO101" s="292"/>
      <c r="MP101" s="292"/>
      <c r="MQ101" s="292"/>
      <c r="MR101" s="292"/>
      <c r="MS101" s="292"/>
      <c r="MT101" s="292"/>
      <c r="MU101" s="292"/>
      <c r="MV101" s="292"/>
      <c r="MW101" s="292"/>
      <c r="MX101" s="292"/>
      <c r="MY101" s="292"/>
      <c r="MZ101" s="292"/>
      <c r="NA101" s="292"/>
      <c r="NB101" s="292"/>
      <c r="NC101" s="292"/>
      <c r="ND101" s="292"/>
      <c r="NE101" s="292"/>
      <c r="NF101" s="292"/>
      <c r="NG101" s="292"/>
      <c r="NH101" s="292"/>
      <c r="NI101" s="292"/>
      <c r="NJ101" s="292"/>
      <c r="NK101" s="292"/>
      <c r="NL101" s="292"/>
      <c r="NM101" s="292"/>
      <c r="NN101" s="292"/>
      <c r="NO101" s="292"/>
      <c r="NP101" s="292"/>
      <c r="NQ101" s="292"/>
      <c r="NR101" s="292"/>
      <c r="NS101" s="292"/>
      <c r="NT101" s="292"/>
      <c r="NU101" s="292"/>
      <c r="NV101" s="292"/>
      <c r="NW101" s="292"/>
      <c r="NX101" s="292"/>
      <c r="NY101" s="568"/>
      <c r="NZ101" s="568"/>
      <c r="OA101" s="575"/>
      <c r="OB101" s="575"/>
      <c r="OC101" s="578"/>
      <c r="OD101" s="578"/>
    </row>
    <row r="102" spans="1:394" s="20" customFormat="1" ht="10.5" customHeight="1">
      <c r="D102" s="82"/>
      <c r="E102" s="82"/>
      <c r="F102" s="82"/>
      <c r="G102" s="73"/>
      <c r="H102" s="67"/>
      <c r="K102" s="17"/>
      <c r="L102" s="17"/>
      <c r="O102" s="17"/>
      <c r="V102" s="20" t="s">
        <v>0</v>
      </c>
      <c r="Z102" s="17"/>
      <c r="AL102" s="17"/>
      <c r="AN102" s="17"/>
      <c r="AO102" s="17"/>
      <c r="AP102" s="23"/>
      <c r="AQ102" s="23"/>
      <c r="AR102" s="23"/>
      <c r="AS102" s="23"/>
      <c r="AT102" s="23"/>
      <c r="AU102" s="23"/>
      <c r="AV102" s="23"/>
      <c r="AW102" s="23"/>
      <c r="AX102" s="23"/>
      <c r="AY102" s="23"/>
      <c r="AZ102" s="23"/>
      <c r="BA102" s="23"/>
      <c r="BB102" s="23"/>
      <c r="BM102" s="23"/>
      <c r="BP102" s="23"/>
      <c r="BX102" s="23"/>
      <c r="BY102" s="23"/>
      <c r="BZ102" s="60"/>
      <c r="CA102" s="23"/>
      <c r="CB102" s="292"/>
      <c r="CG102" s="55" t="s">
        <v>190</v>
      </c>
      <c r="CH102" s="52"/>
      <c r="CI102" s="52">
        <v>0</v>
      </c>
      <c r="CJ102" s="52">
        <v>0</v>
      </c>
      <c r="CK102" s="52">
        <v>1.4</v>
      </c>
      <c r="CL102" s="52">
        <v>1.4</v>
      </c>
      <c r="CM102" s="52">
        <v>2.2000000000000002</v>
      </c>
      <c r="CN102" s="48">
        <v>0</v>
      </c>
      <c r="CO102" s="209">
        <f t="shared" si="11"/>
        <v>5</v>
      </c>
      <c r="CZ102" s="22"/>
      <c r="EG102" s="292"/>
      <c r="EH102" s="292"/>
      <c r="EI102" s="292"/>
      <c r="EJ102" s="292"/>
      <c r="EK102" s="292"/>
      <c r="EL102" s="292"/>
      <c r="EM102" s="292"/>
      <c r="EN102" s="292"/>
      <c r="EO102" s="292"/>
      <c r="EP102" s="292"/>
      <c r="EQ102" s="292"/>
      <c r="ER102" s="292"/>
      <c r="ES102" s="292"/>
      <c r="ET102" s="292"/>
      <c r="EU102" s="292"/>
      <c r="EV102" s="292"/>
      <c r="EW102" s="292"/>
      <c r="EX102" s="292"/>
      <c r="FA102" s="292"/>
      <c r="FB102" s="292"/>
      <c r="FC102" s="292"/>
      <c r="FD102" s="292"/>
      <c r="FE102" s="292"/>
      <c r="FF102" s="292"/>
      <c r="FG102" s="292"/>
      <c r="FH102" s="292"/>
      <c r="FI102" s="292"/>
      <c r="FJ102" s="292"/>
      <c r="FK102" s="292"/>
      <c r="FL102" s="292"/>
      <c r="FM102" s="292"/>
      <c r="FN102" s="292"/>
      <c r="FO102" s="292"/>
      <c r="FP102" s="292"/>
      <c r="FQ102" s="292"/>
      <c r="FR102" s="292"/>
      <c r="FS102" s="292"/>
      <c r="FT102" s="292"/>
      <c r="FU102" s="292"/>
      <c r="FV102" s="292"/>
      <c r="FW102" s="292"/>
      <c r="FX102" s="292"/>
      <c r="FY102" s="292"/>
      <c r="FZ102" s="292"/>
      <c r="GA102" s="292"/>
      <c r="GB102" s="292"/>
      <c r="GC102" s="292"/>
      <c r="GD102" s="292"/>
      <c r="GE102" s="292"/>
      <c r="GF102" s="292"/>
      <c r="GG102" s="292"/>
      <c r="GH102" s="292"/>
      <c r="GI102" s="292"/>
      <c r="GJ102" s="292"/>
      <c r="GK102" s="292"/>
      <c r="GL102" s="292"/>
      <c r="GM102" s="292"/>
      <c r="GN102" s="292"/>
      <c r="GO102" s="292"/>
      <c r="GP102" s="292"/>
      <c r="GQ102" s="292"/>
      <c r="GR102" s="292"/>
      <c r="GS102" s="292"/>
      <c r="GT102" s="292"/>
      <c r="GU102" s="292"/>
      <c r="GV102" s="292"/>
      <c r="GW102" s="292"/>
      <c r="GX102" s="292"/>
      <c r="GY102" s="292"/>
      <c r="GZ102" s="292"/>
      <c r="HA102" s="292"/>
      <c r="HB102" s="292"/>
      <c r="HC102" s="292"/>
      <c r="HD102" s="292"/>
      <c r="HE102" s="292"/>
      <c r="HF102" s="292"/>
      <c r="HG102" s="292"/>
      <c r="HH102" s="292"/>
      <c r="HI102" s="292"/>
      <c r="HJ102" s="292"/>
      <c r="HK102" s="292"/>
      <c r="HL102" s="292"/>
      <c r="HM102" s="292"/>
      <c r="HN102" s="292"/>
      <c r="HO102" s="292"/>
      <c r="HP102" s="292"/>
      <c r="HQ102" s="292"/>
      <c r="HR102" s="292"/>
      <c r="HS102" s="292"/>
      <c r="HT102" s="292"/>
      <c r="HU102" s="292"/>
      <c r="HV102" s="292"/>
      <c r="HW102" s="292"/>
      <c r="HX102" s="292"/>
      <c r="HY102" s="292"/>
      <c r="HZ102" s="292"/>
      <c r="IA102" s="292"/>
      <c r="IB102" s="292"/>
      <c r="IC102" s="292"/>
      <c r="ID102" s="292"/>
      <c r="IE102" s="292"/>
      <c r="IF102" s="292"/>
      <c r="IG102" s="292"/>
      <c r="IH102" s="292"/>
      <c r="II102" s="292"/>
      <c r="IJ102" s="292"/>
      <c r="IK102" s="292"/>
      <c r="IL102" s="292"/>
      <c r="IM102" s="292"/>
      <c r="IN102" s="292"/>
      <c r="IO102" s="292"/>
      <c r="IP102" s="292"/>
      <c r="IQ102" s="292"/>
      <c r="IR102" s="292"/>
      <c r="IS102" s="292"/>
      <c r="IT102" s="292"/>
      <c r="IU102" s="292"/>
      <c r="IV102" s="292"/>
      <c r="IW102" s="292"/>
      <c r="IX102" s="292"/>
      <c r="IY102" s="292"/>
      <c r="IZ102" s="292"/>
      <c r="JA102" s="292"/>
      <c r="JB102" s="292"/>
      <c r="JC102" s="292"/>
      <c r="JD102" s="292"/>
      <c r="JE102" s="292"/>
      <c r="JF102" s="292"/>
      <c r="JG102" s="292"/>
      <c r="JH102" s="292"/>
      <c r="JI102" s="292"/>
      <c r="JJ102" s="292"/>
      <c r="JK102" s="292"/>
      <c r="JL102" s="292"/>
      <c r="JM102" s="292"/>
      <c r="JN102" s="292"/>
      <c r="JO102" s="292"/>
      <c r="JP102" s="292"/>
      <c r="JQ102" s="292"/>
      <c r="JR102" s="292"/>
      <c r="JS102" s="292"/>
      <c r="JT102" s="292"/>
      <c r="JU102" s="292"/>
      <c r="JV102" s="292"/>
      <c r="JW102" s="292"/>
      <c r="JX102" s="292"/>
      <c r="JY102" s="292"/>
      <c r="JZ102" s="292"/>
      <c r="KA102" s="292"/>
      <c r="KB102" s="292"/>
      <c r="KC102" s="292"/>
      <c r="KD102" s="292"/>
      <c r="KE102" s="292"/>
      <c r="KF102" s="292"/>
      <c r="KG102" s="292"/>
      <c r="KH102" s="292"/>
      <c r="KI102" s="292"/>
      <c r="KJ102" s="292"/>
      <c r="KK102" s="292"/>
      <c r="KL102" s="292"/>
      <c r="KM102" s="292"/>
      <c r="KN102" s="292"/>
      <c r="KO102" s="292"/>
      <c r="KP102" s="292"/>
      <c r="KQ102" s="292"/>
      <c r="KR102" s="292"/>
      <c r="KS102" s="292"/>
      <c r="KT102" s="292"/>
      <c r="KU102" s="292"/>
      <c r="KV102" s="292"/>
      <c r="KW102" s="292"/>
      <c r="KX102" s="292"/>
      <c r="KY102" s="292"/>
      <c r="KZ102" s="292"/>
      <c r="LA102" s="292"/>
      <c r="LB102" s="292"/>
      <c r="LC102" s="292"/>
      <c r="LD102" s="292"/>
      <c r="LE102" s="292"/>
      <c r="LF102" s="292"/>
      <c r="LG102" s="292"/>
      <c r="LH102" s="292"/>
      <c r="LI102" s="292"/>
      <c r="LJ102" s="292"/>
      <c r="LK102" s="292"/>
      <c r="LL102" s="292"/>
      <c r="LM102" s="292"/>
      <c r="LN102" s="292"/>
      <c r="LO102" s="292"/>
      <c r="LP102" s="292"/>
      <c r="LQ102" s="292"/>
      <c r="LR102" s="292"/>
      <c r="LS102" s="292"/>
      <c r="LT102" s="292"/>
      <c r="LU102" s="292"/>
      <c r="LV102" s="292"/>
      <c r="LW102" s="292"/>
      <c r="LX102" s="292"/>
      <c r="LY102" s="292"/>
      <c r="LZ102" s="292"/>
      <c r="MA102" s="292"/>
      <c r="MB102" s="292"/>
      <c r="MC102" s="292"/>
      <c r="MD102" s="292"/>
      <c r="ME102" s="292"/>
      <c r="MF102" s="292"/>
      <c r="MG102" s="292"/>
      <c r="MH102" s="292"/>
      <c r="MI102" s="292"/>
      <c r="MJ102" s="292"/>
      <c r="MK102" s="292"/>
      <c r="ML102" s="292"/>
      <c r="MM102" s="292"/>
      <c r="MN102" s="292"/>
      <c r="MO102" s="292"/>
      <c r="MP102" s="292"/>
      <c r="MQ102" s="292"/>
      <c r="MR102" s="292"/>
      <c r="MS102" s="292"/>
      <c r="MT102" s="292"/>
      <c r="MU102" s="292"/>
      <c r="MV102" s="292"/>
      <c r="MW102" s="292"/>
      <c r="MX102" s="292"/>
      <c r="MY102" s="292"/>
      <c r="MZ102" s="292"/>
      <c r="NA102" s="292"/>
      <c r="NB102" s="292"/>
      <c r="NC102" s="292"/>
      <c r="ND102" s="292"/>
      <c r="NE102" s="292"/>
      <c r="NF102" s="292"/>
      <c r="NG102" s="292"/>
      <c r="NH102" s="292"/>
      <c r="NI102" s="292"/>
      <c r="NJ102" s="292"/>
      <c r="NK102" s="292"/>
      <c r="NL102" s="292"/>
      <c r="NM102" s="292"/>
      <c r="NN102" s="292"/>
      <c r="NO102" s="292"/>
      <c r="NP102" s="292"/>
      <c r="NQ102" s="292"/>
      <c r="NR102" s="292"/>
      <c r="NS102" s="292"/>
      <c r="NT102" s="292"/>
      <c r="NU102" s="292"/>
      <c r="NV102" s="292"/>
      <c r="NW102" s="292"/>
      <c r="NX102" s="292"/>
      <c r="NY102" s="568"/>
      <c r="NZ102" s="568"/>
      <c r="OA102" s="575"/>
      <c r="OB102" s="575"/>
      <c r="OC102" s="578"/>
      <c r="OD102" s="578"/>
    </row>
    <row r="103" spans="1:394" s="20" customFormat="1" ht="10.5" customHeight="1">
      <c r="D103" s="82"/>
      <c r="E103" s="82"/>
      <c r="F103" s="82"/>
      <c r="G103" s="44"/>
      <c r="H103" s="67"/>
      <c r="K103" s="17"/>
      <c r="L103" s="17"/>
      <c r="O103" s="17"/>
      <c r="Z103" s="17"/>
      <c r="AL103" s="17"/>
      <c r="AN103" s="17"/>
      <c r="AO103" s="17"/>
      <c r="BM103" s="23"/>
      <c r="BP103" s="23"/>
      <c r="BX103" s="23"/>
      <c r="BY103" s="23"/>
      <c r="BZ103" s="60"/>
      <c r="CA103" s="23"/>
      <c r="CB103" s="292"/>
      <c r="CG103" s="55" t="s">
        <v>84</v>
      </c>
      <c r="CH103" s="52"/>
      <c r="CI103" s="52">
        <v>0</v>
      </c>
      <c r="CJ103" s="52">
        <v>0</v>
      </c>
      <c r="CK103" s="52">
        <v>0</v>
      </c>
      <c r="CL103" s="52">
        <v>0</v>
      </c>
      <c r="CM103" s="52">
        <v>0</v>
      </c>
      <c r="CN103" s="48">
        <v>0</v>
      </c>
      <c r="CO103" s="48">
        <f t="shared" si="11"/>
        <v>0</v>
      </c>
      <c r="CZ103" s="17"/>
      <c r="EG103" s="292"/>
      <c r="EH103" s="292"/>
      <c r="EI103" s="292"/>
      <c r="EJ103" s="292"/>
      <c r="EK103" s="292"/>
      <c r="EL103" s="292"/>
      <c r="EM103" s="292"/>
      <c r="EN103" s="292"/>
      <c r="EO103" s="292"/>
      <c r="EP103" s="292"/>
      <c r="EQ103" s="292"/>
      <c r="ER103" s="292"/>
      <c r="ES103" s="292"/>
      <c r="ET103" s="292"/>
      <c r="EU103" s="292"/>
      <c r="EV103" s="292"/>
      <c r="EW103" s="292"/>
      <c r="EX103" s="292"/>
      <c r="FA103" s="292"/>
      <c r="FB103" s="292"/>
      <c r="FC103" s="292"/>
      <c r="FD103" s="292"/>
      <c r="FE103" s="292"/>
      <c r="FF103" s="292"/>
      <c r="FG103" s="292"/>
      <c r="FH103" s="292"/>
      <c r="FI103" s="292"/>
      <c r="FJ103" s="292"/>
      <c r="FK103" s="292"/>
      <c r="FL103" s="292"/>
      <c r="FM103" s="292"/>
      <c r="FN103" s="292"/>
      <c r="FO103" s="292"/>
      <c r="FP103" s="292"/>
      <c r="FQ103" s="292"/>
      <c r="FR103" s="292"/>
      <c r="FS103" s="292"/>
      <c r="FT103" s="292"/>
      <c r="FU103" s="292"/>
      <c r="FV103" s="292"/>
      <c r="FW103" s="292"/>
      <c r="FX103" s="292"/>
      <c r="FY103" s="292"/>
      <c r="FZ103" s="292"/>
      <c r="GA103" s="292"/>
      <c r="GB103" s="292"/>
      <c r="GC103" s="292"/>
      <c r="GD103" s="292"/>
      <c r="GE103" s="292"/>
      <c r="GF103" s="292"/>
      <c r="GG103" s="292"/>
      <c r="GH103" s="292"/>
      <c r="GI103" s="292"/>
      <c r="GJ103" s="292"/>
      <c r="GK103" s="292"/>
      <c r="GL103" s="292"/>
      <c r="GM103" s="292"/>
      <c r="GN103" s="292"/>
      <c r="GO103" s="292"/>
      <c r="GP103" s="292"/>
      <c r="GQ103" s="292"/>
      <c r="GR103" s="292"/>
      <c r="GS103" s="292"/>
      <c r="GT103" s="292"/>
      <c r="GU103" s="292"/>
      <c r="GV103" s="292"/>
      <c r="GW103" s="292"/>
      <c r="GX103" s="292"/>
      <c r="GY103" s="292"/>
      <c r="GZ103" s="292"/>
      <c r="HA103" s="292"/>
      <c r="HB103" s="292"/>
      <c r="HC103" s="292"/>
      <c r="HD103" s="292"/>
      <c r="HE103" s="292"/>
      <c r="HF103" s="292"/>
      <c r="HG103" s="292"/>
      <c r="HH103" s="292"/>
      <c r="HI103" s="292"/>
      <c r="HJ103" s="292"/>
      <c r="HK103" s="292"/>
      <c r="HL103" s="292"/>
      <c r="HM103" s="292"/>
      <c r="HN103" s="292"/>
      <c r="HO103" s="292"/>
      <c r="HP103" s="292"/>
      <c r="HQ103" s="292"/>
      <c r="HR103" s="292"/>
      <c r="HS103" s="292"/>
      <c r="HT103" s="292"/>
      <c r="HU103" s="292"/>
      <c r="HV103" s="292"/>
      <c r="HW103" s="292"/>
      <c r="HX103" s="292"/>
      <c r="HY103" s="292"/>
      <c r="HZ103" s="292"/>
      <c r="IA103" s="292"/>
      <c r="IB103" s="292"/>
      <c r="IC103" s="292"/>
      <c r="ID103" s="292"/>
      <c r="IE103" s="292"/>
      <c r="IF103" s="292"/>
      <c r="IG103" s="292"/>
      <c r="IH103" s="292"/>
      <c r="II103" s="292"/>
      <c r="IJ103" s="292"/>
      <c r="IK103" s="292"/>
      <c r="IL103" s="292"/>
      <c r="IM103" s="292"/>
      <c r="IN103" s="292"/>
      <c r="IO103" s="292"/>
      <c r="IP103" s="292"/>
      <c r="IQ103" s="292"/>
      <c r="IR103" s="292"/>
      <c r="IS103" s="292"/>
      <c r="IT103" s="292"/>
      <c r="IU103" s="292"/>
      <c r="IV103" s="292"/>
      <c r="IW103" s="292"/>
      <c r="IX103" s="292"/>
      <c r="IY103" s="292"/>
      <c r="IZ103" s="292"/>
      <c r="JA103" s="292"/>
      <c r="JB103" s="292"/>
      <c r="JC103" s="292"/>
      <c r="JD103" s="292"/>
      <c r="JE103" s="292"/>
      <c r="JF103" s="292"/>
      <c r="JG103" s="292"/>
      <c r="JH103" s="292"/>
      <c r="JI103" s="292"/>
      <c r="JJ103" s="292"/>
      <c r="JK103" s="292"/>
      <c r="JL103" s="292"/>
      <c r="JM103" s="292"/>
      <c r="JN103" s="292"/>
      <c r="JO103" s="292"/>
      <c r="JP103" s="292"/>
      <c r="JQ103" s="292"/>
      <c r="JR103" s="292"/>
      <c r="JS103" s="292"/>
      <c r="JT103" s="292"/>
      <c r="JU103" s="292"/>
      <c r="JV103" s="292"/>
      <c r="JW103" s="292"/>
      <c r="JX103" s="292"/>
      <c r="JY103" s="292"/>
      <c r="JZ103" s="292"/>
      <c r="KA103" s="292"/>
      <c r="KB103" s="292"/>
      <c r="KC103" s="292"/>
      <c r="KD103" s="292"/>
      <c r="KE103" s="292"/>
      <c r="KF103" s="292"/>
      <c r="KG103" s="292"/>
      <c r="KH103" s="292"/>
      <c r="KI103" s="292"/>
      <c r="KJ103" s="292"/>
      <c r="KK103" s="292"/>
      <c r="KL103" s="292"/>
      <c r="KM103" s="292"/>
      <c r="KN103" s="292"/>
      <c r="KO103" s="292"/>
      <c r="KP103" s="292"/>
      <c r="KQ103" s="292"/>
      <c r="KR103" s="292"/>
      <c r="KS103" s="292"/>
      <c r="KT103" s="292"/>
      <c r="KU103" s="292"/>
      <c r="KV103" s="292"/>
      <c r="KW103" s="292"/>
      <c r="KX103" s="292"/>
      <c r="KY103" s="292"/>
      <c r="KZ103" s="292"/>
      <c r="LA103" s="292"/>
      <c r="LB103" s="292"/>
      <c r="LC103" s="292"/>
      <c r="LD103" s="292"/>
      <c r="LE103" s="292"/>
      <c r="LF103" s="292"/>
      <c r="LG103" s="292"/>
      <c r="LH103" s="292"/>
      <c r="LI103" s="292"/>
      <c r="LJ103" s="292"/>
      <c r="LK103" s="292"/>
      <c r="LL103" s="292"/>
      <c r="LM103" s="292"/>
      <c r="LN103" s="292"/>
      <c r="LO103" s="292"/>
      <c r="LP103" s="292"/>
      <c r="LQ103" s="292"/>
      <c r="LR103" s="292"/>
      <c r="LS103" s="292"/>
      <c r="LT103" s="292"/>
      <c r="LU103" s="292"/>
      <c r="LV103" s="292"/>
      <c r="LW103" s="292"/>
      <c r="LX103" s="292"/>
      <c r="LY103" s="292"/>
      <c r="LZ103" s="292"/>
      <c r="MA103" s="292"/>
      <c r="MB103" s="292"/>
      <c r="MC103" s="292"/>
      <c r="MD103" s="292"/>
      <c r="ME103" s="292"/>
      <c r="MF103" s="292"/>
      <c r="MG103" s="292"/>
      <c r="MH103" s="292"/>
      <c r="MI103" s="292"/>
      <c r="MJ103" s="292"/>
      <c r="MK103" s="292"/>
      <c r="ML103" s="292"/>
      <c r="MM103" s="292"/>
      <c r="MN103" s="292"/>
      <c r="MO103" s="292"/>
      <c r="MP103" s="292"/>
      <c r="MQ103" s="292"/>
      <c r="MR103" s="292"/>
      <c r="MS103" s="292"/>
      <c r="MT103" s="292"/>
      <c r="MU103" s="292"/>
      <c r="MV103" s="292"/>
      <c r="MW103" s="292"/>
      <c r="MX103" s="292"/>
      <c r="MY103" s="292"/>
      <c r="MZ103" s="292"/>
      <c r="NA103" s="292"/>
      <c r="NB103" s="292"/>
      <c r="NC103" s="292"/>
      <c r="ND103" s="292"/>
      <c r="NE103" s="292"/>
      <c r="NF103" s="292"/>
      <c r="NG103" s="292"/>
      <c r="NH103" s="292"/>
      <c r="NI103" s="292"/>
      <c r="NJ103" s="292"/>
      <c r="NK103" s="292"/>
      <c r="NL103" s="292"/>
      <c r="NM103" s="292"/>
      <c r="NN103" s="292"/>
      <c r="NO103" s="292"/>
      <c r="NP103" s="292"/>
      <c r="NQ103" s="292"/>
      <c r="NR103" s="292"/>
      <c r="NS103" s="292"/>
      <c r="NT103" s="292"/>
      <c r="NU103" s="292"/>
      <c r="NV103" s="292"/>
      <c r="NW103" s="292"/>
      <c r="NX103" s="292"/>
      <c r="NY103" s="568"/>
      <c r="NZ103" s="568"/>
      <c r="OA103" s="575"/>
      <c r="OB103" s="575"/>
      <c r="OC103" s="578"/>
      <c r="OD103" s="578"/>
    </row>
    <row r="104" spans="1:394" s="20" customFormat="1" ht="10.5" customHeight="1">
      <c r="D104" s="82"/>
      <c r="E104" s="82"/>
      <c r="F104" s="82"/>
      <c r="G104" s="73"/>
      <c r="H104" s="67"/>
      <c r="K104" s="17"/>
      <c r="L104" s="17"/>
      <c r="O104" s="17"/>
      <c r="Z104" s="17"/>
      <c r="AL104" s="17"/>
      <c r="AN104" s="17"/>
      <c r="AO104" s="17"/>
      <c r="BP104" s="23"/>
      <c r="BX104" s="23"/>
      <c r="BY104" s="23"/>
      <c r="BZ104" s="60"/>
      <c r="CA104" s="23"/>
      <c r="CB104" s="292"/>
      <c r="CG104" s="55" t="s">
        <v>82</v>
      </c>
      <c r="CH104" s="201"/>
      <c r="CI104" s="52">
        <v>0</v>
      </c>
      <c r="CJ104" s="52">
        <v>0</v>
      </c>
      <c r="CK104" s="52">
        <v>0</v>
      </c>
      <c r="CL104" s="52">
        <v>0</v>
      </c>
      <c r="CM104" s="52">
        <v>0</v>
      </c>
      <c r="CN104" s="48">
        <v>0</v>
      </c>
      <c r="CO104" s="209">
        <f t="shared" si="11"/>
        <v>0</v>
      </c>
      <c r="CZ104" s="22"/>
      <c r="EG104" s="292"/>
      <c r="EH104" s="292"/>
      <c r="EI104" s="292"/>
      <c r="EJ104" s="292"/>
      <c r="EK104" s="292"/>
      <c r="EL104" s="292"/>
      <c r="EM104" s="292"/>
      <c r="EN104" s="292"/>
      <c r="EO104" s="292"/>
      <c r="EP104" s="292"/>
      <c r="EQ104" s="292"/>
      <c r="ER104" s="292"/>
      <c r="ES104" s="292"/>
      <c r="ET104" s="292"/>
      <c r="EU104" s="292"/>
      <c r="EV104" s="292"/>
      <c r="EW104" s="292"/>
      <c r="EX104" s="292"/>
      <c r="FA104" s="292"/>
      <c r="FB104" s="292"/>
      <c r="FC104" s="292"/>
      <c r="FD104" s="292"/>
      <c r="FE104" s="292"/>
      <c r="FF104" s="292"/>
      <c r="FG104" s="292"/>
      <c r="FH104" s="292"/>
      <c r="FI104" s="292"/>
      <c r="FJ104" s="292"/>
      <c r="FK104" s="292"/>
      <c r="FL104" s="292"/>
      <c r="FM104" s="292"/>
      <c r="FN104" s="292"/>
      <c r="FO104" s="292"/>
      <c r="FP104" s="292"/>
      <c r="FQ104" s="292"/>
      <c r="FR104" s="292"/>
      <c r="FS104" s="292"/>
      <c r="FT104" s="292"/>
      <c r="FU104" s="292"/>
      <c r="FV104" s="292"/>
      <c r="FW104" s="292"/>
      <c r="FX104" s="292"/>
      <c r="FY104" s="292"/>
      <c r="FZ104" s="292"/>
      <c r="GA104" s="292"/>
      <c r="GB104" s="292"/>
      <c r="GC104" s="292"/>
      <c r="GD104" s="292"/>
      <c r="GE104" s="292"/>
      <c r="GF104" s="292"/>
      <c r="GG104" s="292"/>
      <c r="GH104" s="292"/>
      <c r="GI104" s="292"/>
      <c r="GJ104" s="292"/>
      <c r="GK104" s="292"/>
      <c r="GL104" s="292"/>
      <c r="GM104" s="292"/>
      <c r="GN104" s="292"/>
      <c r="GO104" s="292"/>
      <c r="GP104" s="292"/>
      <c r="GQ104" s="292"/>
      <c r="GR104" s="292"/>
      <c r="GS104" s="292"/>
      <c r="GT104" s="292"/>
      <c r="GU104" s="292"/>
      <c r="GV104" s="292"/>
      <c r="GW104" s="292"/>
      <c r="GX104" s="292"/>
      <c r="GY104" s="292"/>
      <c r="GZ104" s="292"/>
      <c r="HA104" s="292"/>
      <c r="HB104" s="292"/>
      <c r="HC104" s="292"/>
      <c r="HD104" s="292"/>
      <c r="HE104" s="292"/>
      <c r="HF104" s="292"/>
      <c r="HG104" s="292"/>
      <c r="HH104" s="292"/>
      <c r="HI104" s="292"/>
      <c r="HJ104" s="292"/>
      <c r="HK104" s="292"/>
      <c r="HL104" s="292"/>
      <c r="HM104" s="292"/>
      <c r="HN104" s="292"/>
      <c r="HO104" s="292"/>
      <c r="HP104" s="292"/>
      <c r="HQ104" s="292"/>
      <c r="HR104" s="292"/>
      <c r="HS104" s="292"/>
      <c r="HT104" s="292"/>
      <c r="HU104" s="292"/>
      <c r="HV104" s="292"/>
      <c r="HW104" s="292"/>
      <c r="HX104" s="292"/>
      <c r="HY104" s="292"/>
      <c r="HZ104" s="292"/>
      <c r="IA104" s="292"/>
      <c r="IB104" s="292"/>
      <c r="IC104" s="292"/>
      <c r="ID104" s="292"/>
      <c r="IE104" s="292"/>
      <c r="IF104" s="292"/>
      <c r="IG104" s="292"/>
      <c r="IH104" s="292"/>
      <c r="II104" s="292"/>
      <c r="IJ104" s="292"/>
      <c r="IK104" s="292"/>
      <c r="IL104" s="292"/>
      <c r="IM104" s="292"/>
      <c r="IN104" s="292"/>
      <c r="IO104" s="292"/>
      <c r="IP104" s="292"/>
      <c r="IQ104" s="292"/>
      <c r="IR104" s="292"/>
      <c r="IS104" s="292"/>
      <c r="IT104" s="292"/>
      <c r="IU104" s="292"/>
      <c r="IV104" s="292"/>
      <c r="IW104" s="292"/>
      <c r="IX104" s="292"/>
      <c r="IY104" s="292"/>
      <c r="IZ104" s="292"/>
      <c r="JA104" s="292"/>
      <c r="JB104" s="292"/>
      <c r="JC104" s="292"/>
      <c r="JD104" s="292"/>
      <c r="JE104" s="292"/>
      <c r="JF104" s="292"/>
      <c r="JG104" s="292"/>
      <c r="JH104" s="292"/>
      <c r="JI104" s="292"/>
      <c r="JJ104" s="292"/>
      <c r="JK104" s="292"/>
      <c r="JL104" s="292"/>
      <c r="JM104" s="292"/>
      <c r="JN104" s="292"/>
      <c r="JO104" s="292"/>
      <c r="JP104" s="292"/>
      <c r="JQ104" s="292"/>
      <c r="JR104" s="292"/>
      <c r="JS104" s="292"/>
      <c r="JT104" s="292"/>
      <c r="JU104" s="292"/>
      <c r="JV104" s="292"/>
      <c r="JW104" s="292"/>
      <c r="JX104" s="292"/>
      <c r="JY104" s="292"/>
      <c r="JZ104" s="292"/>
      <c r="KA104" s="292"/>
      <c r="KB104" s="292"/>
      <c r="KC104" s="292"/>
      <c r="KD104" s="292"/>
      <c r="KE104" s="292"/>
      <c r="KF104" s="292"/>
      <c r="KG104" s="292"/>
      <c r="KH104" s="292"/>
      <c r="KI104" s="292"/>
      <c r="KJ104" s="292"/>
      <c r="KK104" s="292"/>
      <c r="KL104" s="292"/>
      <c r="KM104" s="292"/>
      <c r="KN104" s="292"/>
      <c r="KO104" s="292"/>
      <c r="KP104" s="292"/>
      <c r="KQ104" s="292"/>
      <c r="KR104" s="292"/>
      <c r="KS104" s="292"/>
      <c r="KT104" s="292"/>
      <c r="KU104" s="292"/>
      <c r="KV104" s="292"/>
      <c r="KW104" s="292"/>
      <c r="KX104" s="292"/>
      <c r="KY104" s="292"/>
      <c r="KZ104" s="292"/>
      <c r="LA104" s="292"/>
      <c r="LB104" s="292"/>
      <c r="LC104" s="292"/>
      <c r="LD104" s="292"/>
      <c r="LE104" s="292"/>
      <c r="LF104" s="292"/>
      <c r="LG104" s="292"/>
      <c r="LH104" s="292"/>
      <c r="LI104" s="292"/>
      <c r="LJ104" s="292"/>
      <c r="LK104" s="292"/>
      <c r="LL104" s="292"/>
      <c r="LM104" s="292"/>
      <c r="LN104" s="292"/>
      <c r="LO104" s="292"/>
      <c r="LP104" s="292"/>
      <c r="LQ104" s="292"/>
      <c r="LR104" s="292"/>
      <c r="LS104" s="292"/>
      <c r="LT104" s="292"/>
      <c r="LU104" s="292"/>
      <c r="LV104" s="292"/>
      <c r="LW104" s="292"/>
      <c r="LX104" s="292"/>
      <c r="LY104" s="292"/>
      <c r="LZ104" s="292"/>
      <c r="MA104" s="292"/>
      <c r="MB104" s="292"/>
      <c r="MC104" s="292"/>
      <c r="MD104" s="292"/>
      <c r="ME104" s="292"/>
      <c r="MF104" s="292"/>
      <c r="MG104" s="292"/>
      <c r="MH104" s="292"/>
      <c r="MI104" s="292"/>
      <c r="MJ104" s="292"/>
      <c r="MK104" s="292"/>
      <c r="ML104" s="292"/>
      <c r="MM104" s="292"/>
      <c r="MN104" s="292"/>
      <c r="MO104" s="292"/>
      <c r="MP104" s="292"/>
      <c r="MQ104" s="292"/>
      <c r="MR104" s="292"/>
      <c r="MS104" s="292"/>
      <c r="MT104" s="292"/>
      <c r="MU104" s="292"/>
      <c r="MV104" s="292"/>
      <c r="MW104" s="292"/>
      <c r="MX104" s="292"/>
      <c r="MY104" s="292"/>
      <c r="MZ104" s="292"/>
      <c r="NA104" s="292"/>
      <c r="NB104" s="292"/>
      <c r="NC104" s="292"/>
      <c r="ND104" s="292"/>
      <c r="NE104" s="292"/>
      <c r="NF104" s="292"/>
      <c r="NG104" s="292"/>
      <c r="NH104" s="292"/>
      <c r="NI104" s="292"/>
      <c r="NJ104" s="292"/>
      <c r="NK104" s="292"/>
      <c r="NL104" s="292"/>
      <c r="NM104" s="292"/>
      <c r="NN104" s="292"/>
      <c r="NO104" s="292"/>
      <c r="NP104" s="292"/>
      <c r="NQ104" s="292"/>
      <c r="NR104" s="292"/>
      <c r="NS104" s="292"/>
      <c r="NT104" s="292"/>
      <c r="NU104" s="292"/>
      <c r="NV104" s="292"/>
      <c r="NW104" s="292"/>
      <c r="NX104" s="292"/>
      <c r="NY104" s="568"/>
      <c r="NZ104" s="568"/>
      <c r="OA104" s="575"/>
      <c r="OB104" s="575"/>
      <c r="OC104" s="578"/>
      <c r="OD104" s="578"/>
    </row>
    <row r="105" spans="1:394" s="20" customFormat="1" ht="10.5" customHeight="1">
      <c r="D105" s="82"/>
      <c r="E105" s="82"/>
      <c r="F105" s="82"/>
      <c r="G105" s="44"/>
      <c r="H105" s="67"/>
      <c r="K105" s="17"/>
      <c r="L105" s="17"/>
      <c r="O105" s="17"/>
      <c r="Z105" s="17"/>
      <c r="AL105" s="17"/>
      <c r="AN105" s="17"/>
      <c r="AO105" s="17"/>
      <c r="BP105" s="23"/>
      <c r="BX105" s="23"/>
      <c r="BY105" s="23"/>
      <c r="BZ105" s="60"/>
      <c r="CA105" s="23"/>
      <c r="CB105" s="292"/>
      <c r="CG105" s="104" t="s">
        <v>83</v>
      </c>
      <c r="CH105" s="189"/>
      <c r="CI105" s="589">
        <f t="shared" ref="CI105:CK105" si="12">SUM(CI97:CI104)</f>
        <v>0</v>
      </c>
      <c r="CJ105" s="589">
        <f t="shared" si="12"/>
        <v>0.4</v>
      </c>
      <c r="CK105" s="589">
        <f t="shared" si="12"/>
        <v>2.4</v>
      </c>
      <c r="CL105" s="589">
        <f t="shared" ref="CL105" si="13">SUM(CL97:CL104)</f>
        <v>2</v>
      </c>
      <c r="CM105" s="589">
        <v>3.6960000000000002</v>
      </c>
      <c r="CN105" s="590">
        <f>SUM(CN97:CN104)</f>
        <v>6.08</v>
      </c>
      <c r="CO105" s="254">
        <f t="shared" si="11"/>
        <v>14.576000000000001</v>
      </c>
      <c r="CZ105" s="22"/>
      <c r="EG105" s="292"/>
      <c r="EH105" s="292"/>
      <c r="EI105" s="292"/>
      <c r="EJ105" s="292"/>
      <c r="EK105" s="292"/>
      <c r="EL105" s="292"/>
      <c r="EM105" s="292"/>
      <c r="EN105" s="292"/>
      <c r="EO105" s="292"/>
      <c r="EP105" s="292"/>
      <c r="EQ105" s="292"/>
      <c r="ER105" s="292"/>
      <c r="ES105" s="292"/>
      <c r="ET105" s="292"/>
      <c r="EU105" s="292"/>
      <c r="EV105" s="292"/>
      <c r="EW105" s="292"/>
      <c r="EX105" s="292"/>
      <c r="FA105" s="292"/>
      <c r="FB105" s="292"/>
      <c r="FC105" s="292"/>
      <c r="FD105" s="292"/>
      <c r="FE105" s="292"/>
      <c r="FF105" s="292"/>
      <c r="FG105" s="292"/>
      <c r="FH105" s="292"/>
      <c r="FI105" s="292"/>
      <c r="FJ105" s="292"/>
      <c r="FK105" s="292"/>
      <c r="FL105" s="292"/>
      <c r="FM105" s="292"/>
      <c r="FN105" s="292"/>
      <c r="FO105" s="292"/>
      <c r="FP105" s="292"/>
      <c r="FQ105" s="292"/>
      <c r="FR105" s="292"/>
      <c r="FS105" s="292"/>
      <c r="FT105" s="292"/>
      <c r="FU105" s="292"/>
      <c r="FV105" s="292"/>
      <c r="FW105" s="292"/>
      <c r="FX105" s="292"/>
      <c r="FY105" s="292"/>
      <c r="FZ105" s="292"/>
      <c r="GA105" s="292"/>
      <c r="GB105" s="292"/>
      <c r="GC105" s="292"/>
      <c r="GD105" s="292"/>
      <c r="GE105" s="292"/>
      <c r="GF105" s="292"/>
      <c r="GG105" s="292"/>
      <c r="GH105" s="292"/>
      <c r="GI105" s="292"/>
      <c r="GJ105" s="292"/>
      <c r="GK105" s="292"/>
      <c r="GL105" s="292"/>
      <c r="GM105" s="292"/>
      <c r="GN105" s="292"/>
      <c r="GO105" s="292"/>
      <c r="GP105" s="292"/>
      <c r="GQ105" s="292"/>
      <c r="GR105" s="292"/>
      <c r="GS105" s="292"/>
      <c r="GT105" s="292"/>
      <c r="GU105" s="292"/>
      <c r="GV105" s="292"/>
      <c r="GW105" s="292"/>
      <c r="GX105" s="292"/>
      <c r="GY105" s="292"/>
      <c r="GZ105" s="292"/>
      <c r="HA105" s="292"/>
      <c r="HB105" s="292"/>
      <c r="HC105" s="292"/>
      <c r="HD105" s="292"/>
      <c r="HE105" s="292"/>
      <c r="HF105" s="292"/>
      <c r="HG105" s="292"/>
      <c r="HH105" s="292"/>
      <c r="HI105" s="292"/>
      <c r="HJ105" s="292"/>
      <c r="HK105" s="292"/>
      <c r="HL105" s="292"/>
      <c r="HM105" s="292"/>
      <c r="HN105" s="292"/>
      <c r="HO105" s="292"/>
      <c r="HP105" s="292"/>
      <c r="HQ105" s="292"/>
      <c r="HR105" s="292"/>
      <c r="HS105" s="292"/>
      <c r="HT105" s="292"/>
      <c r="HU105" s="292"/>
      <c r="HV105" s="292"/>
      <c r="HW105" s="292"/>
      <c r="HX105" s="292"/>
      <c r="HY105" s="292"/>
      <c r="HZ105" s="292"/>
      <c r="IA105" s="292"/>
      <c r="IB105" s="292"/>
      <c r="IC105" s="292"/>
      <c r="ID105" s="292"/>
      <c r="IE105" s="292"/>
      <c r="IF105" s="292"/>
      <c r="IG105" s="292"/>
      <c r="IH105" s="292"/>
      <c r="II105" s="292"/>
      <c r="IJ105" s="292"/>
      <c r="IK105" s="292"/>
      <c r="IL105" s="292"/>
      <c r="IM105" s="292"/>
      <c r="IN105" s="292"/>
      <c r="IO105" s="292"/>
      <c r="IP105" s="292"/>
      <c r="IQ105" s="292"/>
      <c r="IR105" s="292"/>
      <c r="IS105" s="292"/>
      <c r="IT105" s="292"/>
      <c r="IU105" s="292"/>
      <c r="IV105" s="292"/>
      <c r="IW105" s="292"/>
      <c r="IX105" s="292"/>
      <c r="IY105" s="292"/>
      <c r="IZ105" s="292"/>
      <c r="JA105" s="292"/>
      <c r="JB105" s="292"/>
      <c r="JC105" s="292"/>
      <c r="JD105" s="292"/>
      <c r="JE105" s="292"/>
      <c r="JF105" s="292"/>
      <c r="JG105" s="292"/>
      <c r="JH105" s="292"/>
      <c r="JI105" s="292"/>
      <c r="JJ105" s="292"/>
      <c r="JK105" s="292"/>
      <c r="JL105" s="292"/>
      <c r="JM105" s="292"/>
      <c r="JN105" s="292"/>
      <c r="JO105" s="292"/>
      <c r="JP105" s="292"/>
      <c r="JQ105" s="292"/>
      <c r="JR105" s="292"/>
      <c r="JS105" s="292"/>
      <c r="JT105" s="292"/>
      <c r="JU105" s="292"/>
      <c r="JV105" s="292"/>
      <c r="JW105" s="292"/>
      <c r="JX105" s="292"/>
      <c r="JY105" s="292"/>
      <c r="JZ105" s="292"/>
      <c r="KA105" s="292"/>
      <c r="KB105" s="292"/>
      <c r="KC105" s="292"/>
      <c r="KD105" s="292"/>
      <c r="KE105" s="292"/>
      <c r="KF105" s="292"/>
      <c r="KG105" s="292"/>
      <c r="KH105" s="292"/>
      <c r="KI105" s="292"/>
      <c r="KJ105" s="292"/>
      <c r="KK105" s="292"/>
      <c r="KL105" s="292"/>
      <c r="KM105" s="292"/>
      <c r="KN105" s="292"/>
      <c r="KO105" s="292"/>
      <c r="KP105" s="292"/>
      <c r="KQ105" s="292"/>
      <c r="KR105" s="292"/>
      <c r="KS105" s="292"/>
      <c r="KT105" s="292"/>
      <c r="KU105" s="292"/>
      <c r="KV105" s="292"/>
      <c r="KW105" s="292"/>
      <c r="KX105" s="292"/>
      <c r="KY105" s="292"/>
      <c r="KZ105" s="292"/>
      <c r="LA105" s="292"/>
      <c r="LB105" s="292"/>
      <c r="LC105" s="292"/>
      <c r="LD105" s="292"/>
      <c r="LE105" s="292"/>
      <c r="LF105" s="292"/>
      <c r="LG105" s="292"/>
      <c r="LH105" s="292"/>
      <c r="LI105" s="292"/>
      <c r="LJ105" s="292"/>
      <c r="LK105" s="292"/>
      <c r="LL105" s="292"/>
      <c r="LM105" s="292"/>
      <c r="LN105" s="292"/>
      <c r="LO105" s="292"/>
      <c r="LP105" s="292"/>
      <c r="LQ105" s="292"/>
      <c r="LR105" s="292"/>
      <c r="LS105" s="292"/>
      <c r="LT105" s="292"/>
      <c r="LU105" s="292"/>
      <c r="LV105" s="292"/>
      <c r="LW105" s="292"/>
      <c r="LX105" s="292"/>
      <c r="LY105" s="292"/>
      <c r="LZ105" s="292"/>
      <c r="MA105" s="292"/>
      <c r="MB105" s="292"/>
      <c r="MC105" s="292"/>
      <c r="MD105" s="292"/>
      <c r="ME105" s="292"/>
      <c r="MF105" s="292"/>
      <c r="MG105" s="292"/>
      <c r="MH105" s="292"/>
      <c r="MI105" s="292"/>
      <c r="MJ105" s="292"/>
      <c r="MK105" s="292"/>
      <c r="ML105" s="292"/>
      <c r="MM105" s="292"/>
      <c r="MN105" s="292"/>
      <c r="MO105" s="292"/>
      <c r="MP105" s="292"/>
      <c r="MQ105" s="292"/>
      <c r="MR105" s="292"/>
      <c r="MS105" s="292"/>
      <c r="MT105" s="292"/>
      <c r="MU105" s="292"/>
      <c r="MV105" s="292"/>
      <c r="MW105" s="292"/>
      <c r="MX105" s="292"/>
      <c r="MY105" s="292"/>
      <c r="MZ105" s="292"/>
      <c r="NA105" s="292"/>
      <c r="NB105" s="292"/>
      <c r="NC105" s="292"/>
      <c r="ND105" s="292"/>
      <c r="NE105" s="292"/>
      <c r="NF105" s="292"/>
      <c r="NG105" s="292"/>
      <c r="NH105" s="292"/>
      <c r="NI105" s="292"/>
      <c r="NJ105" s="292"/>
      <c r="NK105" s="292"/>
      <c r="NL105" s="292"/>
      <c r="NM105" s="292"/>
      <c r="NN105" s="292"/>
      <c r="NO105" s="292"/>
      <c r="NP105" s="292"/>
      <c r="NQ105" s="292"/>
      <c r="NR105" s="292"/>
      <c r="NS105" s="292"/>
      <c r="NT105" s="292"/>
      <c r="NU105" s="292"/>
      <c r="NV105" s="292"/>
      <c r="NW105" s="292"/>
      <c r="NX105" s="292"/>
      <c r="NY105" s="568"/>
      <c r="NZ105" s="568"/>
      <c r="OA105" s="575"/>
      <c r="OB105" s="575"/>
      <c r="OC105" s="578"/>
      <c r="OD105" s="578"/>
    </row>
    <row r="106" spans="1:394" s="20" customFormat="1" ht="10.5" customHeight="1">
      <c r="D106" s="82"/>
      <c r="E106" s="82"/>
      <c r="F106" s="82"/>
      <c r="G106" s="44"/>
      <c r="H106" s="67"/>
      <c r="K106" s="17"/>
      <c r="L106" s="17"/>
      <c r="O106" s="17"/>
      <c r="Z106" s="17"/>
      <c r="AL106" s="17"/>
      <c r="AN106" s="17"/>
      <c r="AO106" s="17"/>
      <c r="BZ106" s="60"/>
      <c r="CB106" s="292"/>
      <c r="CN106" s="166"/>
      <c r="CZ106" s="22"/>
      <c r="EG106" s="292"/>
      <c r="EH106" s="292"/>
      <c r="EI106" s="292"/>
      <c r="EJ106" s="292"/>
      <c r="EK106" s="292"/>
      <c r="EL106" s="292"/>
      <c r="EM106" s="292"/>
      <c r="EN106" s="292"/>
      <c r="EO106" s="292"/>
      <c r="EP106" s="292"/>
      <c r="EQ106" s="292"/>
      <c r="ER106" s="292"/>
      <c r="ES106" s="292"/>
      <c r="ET106" s="292"/>
      <c r="EU106" s="292"/>
      <c r="EV106" s="292"/>
      <c r="EW106" s="292"/>
      <c r="EX106" s="292"/>
      <c r="FA106" s="292"/>
      <c r="FB106" s="292"/>
      <c r="FC106" s="292"/>
      <c r="FD106" s="292"/>
      <c r="FE106" s="292"/>
      <c r="FF106" s="292"/>
      <c r="FG106" s="292"/>
      <c r="FH106" s="292"/>
      <c r="FI106" s="292"/>
      <c r="FJ106" s="292"/>
      <c r="FK106" s="292"/>
      <c r="FL106" s="292"/>
      <c r="FM106" s="292"/>
      <c r="FN106" s="292"/>
      <c r="FO106" s="292"/>
      <c r="FP106" s="292"/>
      <c r="FQ106" s="292"/>
      <c r="FR106" s="292"/>
      <c r="FS106" s="292"/>
      <c r="FT106" s="292"/>
      <c r="FU106" s="292"/>
      <c r="FV106" s="292"/>
      <c r="FW106" s="292"/>
      <c r="FX106" s="292"/>
      <c r="FY106" s="292"/>
      <c r="FZ106" s="292"/>
      <c r="GA106" s="292"/>
      <c r="GB106" s="292"/>
      <c r="GC106" s="292"/>
      <c r="GD106" s="292"/>
      <c r="GE106" s="292"/>
      <c r="GF106" s="292"/>
      <c r="GG106" s="292"/>
      <c r="GH106" s="292"/>
      <c r="GI106" s="292"/>
      <c r="GJ106" s="292"/>
      <c r="GK106" s="292"/>
      <c r="GL106" s="292"/>
      <c r="GM106" s="292"/>
      <c r="GN106" s="292"/>
      <c r="GO106" s="292"/>
      <c r="GP106" s="292"/>
      <c r="GQ106" s="292"/>
      <c r="GR106" s="292"/>
      <c r="GS106" s="292"/>
      <c r="GT106" s="292"/>
      <c r="GU106" s="292"/>
      <c r="GV106" s="292"/>
      <c r="GW106" s="292"/>
      <c r="GX106" s="292"/>
      <c r="GY106" s="292"/>
      <c r="GZ106" s="292"/>
      <c r="HA106" s="292"/>
      <c r="HB106" s="292"/>
      <c r="HC106" s="292"/>
      <c r="HD106" s="292"/>
      <c r="HE106" s="292"/>
      <c r="HF106" s="292"/>
      <c r="HG106" s="292"/>
      <c r="HH106" s="292"/>
      <c r="HI106" s="292"/>
      <c r="HJ106" s="292"/>
      <c r="HK106" s="292"/>
      <c r="HL106" s="292"/>
      <c r="HM106" s="292"/>
      <c r="HN106" s="292"/>
      <c r="HO106" s="292"/>
      <c r="HP106" s="292"/>
      <c r="HQ106" s="292"/>
      <c r="HR106" s="292"/>
      <c r="HS106" s="292"/>
      <c r="HT106" s="292"/>
      <c r="HU106" s="292"/>
      <c r="HV106" s="292"/>
      <c r="HW106" s="292"/>
      <c r="HX106" s="292"/>
      <c r="HY106" s="292"/>
      <c r="HZ106" s="292"/>
      <c r="IA106" s="292"/>
      <c r="IB106" s="292"/>
      <c r="IC106" s="292"/>
      <c r="ID106" s="292"/>
      <c r="IE106" s="292"/>
      <c r="IF106" s="292"/>
      <c r="IG106" s="292"/>
      <c r="IH106" s="292"/>
      <c r="II106" s="292"/>
      <c r="IJ106" s="292"/>
      <c r="IK106" s="292"/>
      <c r="IL106" s="292"/>
      <c r="IM106" s="292"/>
      <c r="IN106" s="292"/>
      <c r="IO106" s="292"/>
      <c r="IP106" s="292"/>
      <c r="IQ106" s="292"/>
      <c r="IR106" s="292"/>
      <c r="IS106" s="292"/>
      <c r="IT106" s="292"/>
      <c r="IU106" s="292"/>
      <c r="IV106" s="292"/>
      <c r="IW106" s="292"/>
      <c r="IX106" s="292"/>
      <c r="IY106" s="292"/>
      <c r="IZ106" s="292"/>
      <c r="JA106" s="292"/>
      <c r="JB106" s="292"/>
      <c r="JC106" s="292"/>
      <c r="JD106" s="292"/>
      <c r="JE106" s="292"/>
      <c r="JF106" s="292"/>
      <c r="JG106" s="292"/>
      <c r="JH106" s="292"/>
      <c r="JI106" s="292"/>
      <c r="JJ106" s="292"/>
      <c r="JK106" s="292"/>
      <c r="JL106" s="292"/>
      <c r="JM106" s="292"/>
      <c r="JN106" s="292"/>
      <c r="JO106" s="292"/>
      <c r="JP106" s="292"/>
      <c r="JQ106" s="292"/>
      <c r="JR106" s="292"/>
      <c r="JS106" s="292"/>
      <c r="JT106" s="292"/>
      <c r="JU106" s="292"/>
      <c r="JV106" s="292"/>
      <c r="JW106" s="292"/>
      <c r="JX106" s="292"/>
      <c r="JY106" s="292"/>
      <c r="JZ106" s="292"/>
      <c r="KA106" s="292"/>
      <c r="KB106" s="292"/>
      <c r="KC106" s="292"/>
      <c r="KD106" s="292"/>
      <c r="KE106" s="292"/>
      <c r="KF106" s="292"/>
      <c r="KG106" s="292"/>
      <c r="KH106" s="292"/>
      <c r="KI106" s="292"/>
      <c r="KJ106" s="292"/>
      <c r="KK106" s="292"/>
      <c r="KL106" s="292"/>
      <c r="KM106" s="292"/>
      <c r="KN106" s="292"/>
      <c r="KO106" s="292"/>
      <c r="KP106" s="292"/>
      <c r="KQ106" s="292"/>
      <c r="KR106" s="292"/>
      <c r="KS106" s="292"/>
      <c r="KT106" s="292"/>
      <c r="KU106" s="292"/>
      <c r="KV106" s="292"/>
      <c r="KW106" s="292"/>
      <c r="KX106" s="292"/>
      <c r="KY106" s="292"/>
      <c r="KZ106" s="292"/>
      <c r="LA106" s="292"/>
      <c r="LB106" s="292"/>
      <c r="LC106" s="292"/>
      <c r="LD106" s="292"/>
      <c r="LE106" s="292"/>
      <c r="LF106" s="292"/>
      <c r="LG106" s="292"/>
      <c r="LH106" s="292"/>
      <c r="LI106" s="292"/>
      <c r="LJ106" s="292"/>
      <c r="LK106" s="292"/>
      <c r="LL106" s="292"/>
      <c r="LM106" s="292"/>
      <c r="LN106" s="292"/>
      <c r="LO106" s="292"/>
      <c r="LP106" s="292"/>
      <c r="LQ106" s="292"/>
      <c r="LR106" s="292"/>
      <c r="LS106" s="292"/>
      <c r="LT106" s="292"/>
      <c r="LU106" s="292"/>
      <c r="LV106" s="292"/>
      <c r="LW106" s="292"/>
      <c r="LX106" s="292"/>
      <c r="LY106" s="292"/>
      <c r="LZ106" s="292"/>
      <c r="MA106" s="292"/>
      <c r="MB106" s="292"/>
      <c r="MC106" s="292"/>
      <c r="MD106" s="292"/>
      <c r="ME106" s="292"/>
      <c r="MF106" s="292"/>
      <c r="MG106" s="292"/>
      <c r="MH106" s="292"/>
      <c r="MI106" s="292"/>
      <c r="MJ106" s="292"/>
      <c r="MK106" s="292"/>
      <c r="ML106" s="292"/>
      <c r="MM106" s="292"/>
      <c r="MN106" s="292"/>
      <c r="MO106" s="292"/>
      <c r="MP106" s="292"/>
      <c r="MQ106" s="292"/>
      <c r="MR106" s="292"/>
      <c r="MS106" s="292"/>
      <c r="MT106" s="292"/>
      <c r="MU106" s="292"/>
      <c r="MV106" s="292"/>
      <c r="MW106" s="292"/>
      <c r="MX106" s="292"/>
      <c r="MY106" s="292"/>
      <c r="MZ106" s="292"/>
      <c r="NA106" s="292"/>
      <c r="NB106" s="292"/>
      <c r="NC106" s="292"/>
      <c r="ND106" s="292"/>
      <c r="NE106" s="292"/>
      <c r="NF106" s="292"/>
      <c r="NG106" s="292"/>
      <c r="NH106" s="292"/>
      <c r="NI106" s="292"/>
      <c r="NJ106" s="292"/>
      <c r="NK106" s="292"/>
      <c r="NL106" s="292"/>
      <c r="NM106" s="292"/>
      <c r="NN106" s="292"/>
      <c r="NO106" s="292"/>
      <c r="NP106" s="292"/>
      <c r="NQ106" s="292"/>
      <c r="NR106" s="292"/>
      <c r="NS106" s="292"/>
      <c r="NT106" s="292"/>
      <c r="NU106" s="292"/>
      <c r="NV106" s="292"/>
      <c r="NW106" s="292"/>
      <c r="NX106" s="292"/>
      <c r="NY106" s="568"/>
      <c r="NZ106" s="568"/>
      <c r="OA106" s="575"/>
      <c r="OB106" s="575"/>
      <c r="OC106" s="578"/>
      <c r="OD106" s="578"/>
    </row>
    <row r="107" spans="1:394" s="20" customFormat="1" ht="10.5" customHeight="1">
      <c r="D107" s="82"/>
      <c r="E107" s="82"/>
      <c r="F107" s="82"/>
      <c r="G107" s="44"/>
      <c r="H107" s="67"/>
      <c r="K107" s="17"/>
      <c r="L107" s="17"/>
      <c r="O107" s="17"/>
      <c r="Z107" s="17"/>
      <c r="AL107" s="17"/>
      <c r="AN107" s="17"/>
      <c r="AO107" s="17"/>
      <c r="BZ107" s="60"/>
      <c r="CB107" s="292"/>
      <c r="CZ107" s="22"/>
      <c r="EG107" s="292"/>
      <c r="EH107" s="292"/>
      <c r="EI107" s="292"/>
      <c r="EJ107" s="292"/>
      <c r="EK107" s="292"/>
      <c r="EL107" s="292"/>
      <c r="EM107" s="292"/>
      <c r="EN107" s="292"/>
      <c r="EO107" s="292"/>
      <c r="EP107" s="292"/>
      <c r="EQ107" s="292"/>
      <c r="ER107" s="292"/>
      <c r="ES107" s="292"/>
      <c r="ET107" s="292"/>
      <c r="EU107" s="292"/>
      <c r="EV107" s="292"/>
      <c r="EW107" s="292"/>
      <c r="EX107" s="292"/>
      <c r="FA107" s="292"/>
      <c r="FB107" s="292"/>
      <c r="FC107" s="292"/>
      <c r="FD107" s="292"/>
      <c r="FE107" s="292"/>
      <c r="FF107" s="292"/>
      <c r="FG107" s="292"/>
      <c r="FH107" s="292"/>
      <c r="FI107" s="292"/>
      <c r="FJ107" s="292"/>
      <c r="FK107" s="292"/>
      <c r="FL107" s="292"/>
      <c r="FM107" s="292"/>
      <c r="FN107" s="292"/>
      <c r="FO107" s="292"/>
      <c r="FP107" s="292"/>
      <c r="FQ107" s="292"/>
      <c r="FR107" s="292"/>
      <c r="FS107" s="292"/>
      <c r="FT107" s="292"/>
      <c r="FU107" s="292"/>
      <c r="FV107" s="292"/>
      <c r="FW107" s="292"/>
      <c r="FX107" s="292"/>
      <c r="FY107" s="292"/>
      <c r="FZ107" s="292"/>
      <c r="GA107" s="292"/>
      <c r="GB107" s="292"/>
      <c r="GC107" s="292"/>
      <c r="GD107" s="292"/>
      <c r="GE107" s="292"/>
      <c r="GF107" s="292"/>
      <c r="GG107" s="292"/>
      <c r="GH107" s="292"/>
      <c r="GI107" s="292"/>
      <c r="GJ107" s="292"/>
      <c r="GK107" s="292"/>
      <c r="GL107" s="292"/>
      <c r="GM107" s="292"/>
      <c r="GN107" s="292"/>
      <c r="GO107" s="292"/>
      <c r="GP107" s="292"/>
      <c r="GQ107" s="292"/>
      <c r="GR107" s="292"/>
      <c r="GS107" s="292"/>
      <c r="GT107" s="292"/>
      <c r="GU107" s="292"/>
      <c r="GV107" s="292"/>
      <c r="GW107" s="292"/>
      <c r="GX107" s="292"/>
      <c r="GY107" s="292"/>
      <c r="GZ107" s="292"/>
      <c r="HA107" s="292"/>
      <c r="HB107" s="292"/>
      <c r="HC107" s="292"/>
      <c r="HD107" s="292"/>
      <c r="HE107" s="292"/>
      <c r="HF107" s="292"/>
      <c r="HG107" s="292"/>
      <c r="HH107" s="292"/>
      <c r="HI107" s="292"/>
      <c r="HJ107" s="292"/>
      <c r="HK107" s="292"/>
      <c r="HL107" s="292"/>
      <c r="HM107" s="292"/>
      <c r="HN107" s="292"/>
      <c r="HO107" s="292"/>
      <c r="HP107" s="292"/>
      <c r="HQ107" s="292"/>
      <c r="HR107" s="292"/>
      <c r="HS107" s="292"/>
      <c r="HT107" s="292"/>
      <c r="HU107" s="292"/>
      <c r="HV107" s="292"/>
      <c r="HW107" s="292"/>
      <c r="HX107" s="292"/>
      <c r="HY107" s="292"/>
      <c r="HZ107" s="292"/>
      <c r="IA107" s="292"/>
      <c r="IB107" s="292"/>
      <c r="IC107" s="292"/>
      <c r="ID107" s="292"/>
      <c r="IE107" s="292"/>
      <c r="IF107" s="292"/>
      <c r="IG107" s="292"/>
      <c r="IH107" s="292"/>
      <c r="II107" s="292"/>
      <c r="IJ107" s="292"/>
      <c r="IK107" s="292"/>
      <c r="IL107" s="292"/>
      <c r="IM107" s="292"/>
      <c r="IN107" s="292"/>
      <c r="IO107" s="292"/>
      <c r="IP107" s="292"/>
      <c r="IQ107" s="292"/>
      <c r="IR107" s="292"/>
      <c r="IS107" s="292"/>
      <c r="IT107" s="292"/>
      <c r="IU107" s="292"/>
      <c r="IV107" s="292"/>
      <c r="IW107" s="292"/>
      <c r="IX107" s="292"/>
      <c r="IY107" s="292"/>
      <c r="IZ107" s="292"/>
      <c r="JA107" s="292"/>
      <c r="JB107" s="292"/>
      <c r="JC107" s="292"/>
      <c r="JD107" s="292"/>
      <c r="JE107" s="292"/>
      <c r="JF107" s="292"/>
      <c r="JG107" s="292"/>
      <c r="JH107" s="292"/>
      <c r="JI107" s="292"/>
      <c r="JJ107" s="292"/>
      <c r="JK107" s="292"/>
      <c r="JL107" s="292"/>
      <c r="JM107" s="292"/>
      <c r="JN107" s="292"/>
      <c r="JO107" s="292"/>
      <c r="JP107" s="292"/>
      <c r="JQ107" s="292"/>
      <c r="JR107" s="292"/>
      <c r="JS107" s="292"/>
      <c r="JT107" s="292"/>
      <c r="JU107" s="292"/>
      <c r="JV107" s="292"/>
      <c r="JW107" s="292"/>
      <c r="JX107" s="292"/>
      <c r="JY107" s="292"/>
      <c r="JZ107" s="292"/>
      <c r="KA107" s="292"/>
      <c r="KB107" s="292"/>
      <c r="KC107" s="292"/>
      <c r="KD107" s="292"/>
      <c r="KE107" s="292"/>
      <c r="KF107" s="292"/>
      <c r="KG107" s="292"/>
      <c r="KH107" s="292"/>
      <c r="KI107" s="292"/>
      <c r="KJ107" s="292"/>
      <c r="KK107" s="292"/>
      <c r="KL107" s="292"/>
      <c r="KM107" s="292"/>
      <c r="KN107" s="292"/>
      <c r="KO107" s="292"/>
      <c r="KP107" s="292"/>
      <c r="KQ107" s="292"/>
      <c r="KR107" s="292"/>
      <c r="KS107" s="292"/>
      <c r="KT107" s="292"/>
      <c r="KU107" s="292"/>
      <c r="KV107" s="292"/>
      <c r="KW107" s="292"/>
      <c r="KX107" s="292"/>
      <c r="KY107" s="292"/>
      <c r="KZ107" s="292"/>
      <c r="LA107" s="292"/>
      <c r="LB107" s="292"/>
      <c r="LC107" s="292"/>
      <c r="LD107" s="292"/>
      <c r="LE107" s="292"/>
      <c r="LF107" s="292"/>
      <c r="LG107" s="292"/>
      <c r="LH107" s="292"/>
      <c r="LI107" s="292"/>
      <c r="LJ107" s="292"/>
      <c r="LK107" s="292"/>
      <c r="LL107" s="292"/>
      <c r="LM107" s="292"/>
      <c r="LN107" s="292"/>
      <c r="LO107" s="292"/>
      <c r="LP107" s="292"/>
      <c r="LQ107" s="292"/>
      <c r="LR107" s="292"/>
      <c r="LS107" s="292"/>
      <c r="LT107" s="292"/>
      <c r="LU107" s="292"/>
      <c r="LV107" s="292"/>
      <c r="LW107" s="292"/>
      <c r="LX107" s="292"/>
      <c r="LY107" s="292"/>
      <c r="LZ107" s="292"/>
      <c r="MA107" s="292"/>
      <c r="MB107" s="292"/>
      <c r="MC107" s="292"/>
      <c r="MD107" s="292"/>
      <c r="ME107" s="292"/>
      <c r="MF107" s="292"/>
      <c r="MG107" s="292"/>
      <c r="MH107" s="292"/>
      <c r="MI107" s="292"/>
      <c r="MJ107" s="292"/>
      <c r="MK107" s="292"/>
      <c r="ML107" s="292"/>
      <c r="MM107" s="292"/>
      <c r="MN107" s="292"/>
      <c r="MO107" s="292"/>
      <c r="MP107" s="292"/>
      <c r="MQ107" s="292"/>
      <c r="MR107" s="292"/>
      <c r="MS107" s="292"/>
      <c r="MT107" s="292"/>
      <c r="MU107" s="292"/>
      <c r="MV107" s="292"/>
      <c r="MW107" s="292"/>
      <c r="MX107" s="292"/>
      <c r="MY107" s="292"/>
      <c r="MZ107" s="292"/>
      <c r="NA107" s="292"/>
      <c r="NB107" s="292"/>
      <c r="NC107" s="292"/>
      <c r="ND107" s="292"/>
      <c r="NE107" s="292"/>
      <c r="NF107" s="292"/>
      <c r="NG107" s="292"/>
      <c r="NH107" s="292"/>
      <c r="NI107" s="292"/>
      <c r="NJ107" s="292"/>
      <c r="NK107" s="292"/>
      <c r="NL107" s="292"/>
      <c r="NM107" s="292"/>
      <c r="NN107" s="292"/>
      <c r="NO107" s="292"/>
      <c r="NP107" s="292"/>
      <c r="NQ107" s="292"/>
      <c r="NR107" s="292"/>
      <c r="NS107" s="292"/>
      <c r="NT107" s="292"/>
      <c r="NU107" s="292"/>
      <c r="NV107" s="292"/>
      <c r="NW107" s="292"/>
      <c r="NX107" s="292"/>
      <c r="NY107" s="568"/>
      <c r="NZ107" s="568"/>
      <c r="OA107" s="575"/>
      <c r="OB107" s="575"/>
      <c r="OC107" s="578"/>
      <c r="OD107" s="578"/>
    </row>
    <row r="108" spans="1:394" s="20" customFormat="1" ht="10.5" customHeight="1">
      <c r="D108" s="82"/>
      <c r="E108" s="82"/>
      <c r="F108" s="82"/>
      <c r="G108" s="73"/>
      <c r="H108" s="67"/>
      <c r="K108" s="17"/>
      <c r="L108" s="17"/>
      <c r="O108" s="17"/>
      <c r="Z108" s="17"/>
      <c r="AL108" s="17"/>
      <c r="AN108" s="17"/>
      <c r="AO108" s="17"/>
      <c r="BZ108" s="60"/>
      <c r="CB108" s="292"/>
      <c r="CZ108" s="22"/>
      <c r="EG108" s="292"/>
      <c r="EH108" s="292"/>
      <c r="EI108" s="292"/>
      <c r="EJ108" s="292"/>
      <c r="EK108" s="292"/>
      <c r="EL108" s="292"/>
      <c r="EM108" s="292"/>
      <c r="EN108" s="292"/>
      <c r="EO108" s="292"/>
      <c r="EP108" s="292"/>
      <c r="EQ108" s="292"/>
      <c r="ER108" s="292"/>
      <c r="ES108" s="292"/>
      <c r="ET108" s="292"/>
      <c r="EU108" s="292"/>
      <c r="EV108" s="292"/>
      <c r="EW108" s="292"/>
      <c r="EX108" s="292"/>
      <c r="FA108" s="292"/>
      <c r="FB108" s="292"/>
      <c r="FC108" s="292"/>
      <c r="FD108" s="292"/>
      <c r="FE108" s="292"/>
      <c r="FF108" s="292"/>
      <c r="FG108" s="292"/>
      <c r="FH108" s="292"/>
      <c r="FI108" s="292"/>
      <c r="FJ108" s="292"/>
      <c r="FK108" s="292"/>
      <c r="FL108" s="292"/>
      <c r="FM108" s="292"/>
      <c r="FN108" s="292"/>
      <c r="FO108" s="292"/>
      <c r="FP108" s="292"/>
      <c r="FQ108" s="292"/>
      <c r="FR108" s="292"/>
      <c r="FS108" s="292"/>
      <c r="FT108" s="292"/>
      <c r="FU108" s="292"/>
      <c r="FV108" s="292"/>
      <c r="FW108" s="292"/>
      <c r="FX108" s="292"/>
      <c r="FY108" s="292"/>
      <c r="FZ108" s="292"/>
      <c r="GA108" s="292"/>
      <c r="GB108" s="292"/>
      <c r="GC108" s="292"/>
      <c r="GD108" s="292"/>
      <c r="GE108" s="292"/>
      <c r="GF108" s="292"/>
      <c r="GG108" s="292"/>
      <c r="GH108" s="292"/>
      <c r="GI108" s="292"/>
      <c r="GJ108" s="292"/>
      <c r="GK108" s="292"/>
      <c r="GL108" s="292"/>
      <c r="GM108" s="292"/>
      <c r="GN108" s="292"/>
      <c r="GO108" s="292"/>
      <c r="GP108" s="292"/>
      <c r="GQ108" s="292"/>
      <c r="GR108" s="292"/>
      <c r="GS108" s="292"/>
      <c r="GT108" s="292"/>
      <c r="GU108" s="292"/>
      <c r="GV108" s="292"/>
      <c r="GW108" s="292"/>
      <c r="GX108" s="292"/>
      <c r="GY108" s="292"/>
      <c r="GZ108" s="292"/>
      <c r="HA108" s="292"/>
      <c r="HB108" s="292"/>
      <c r="HC108" s="292"/>
      <c r="HD108" s="292"/>
      <c r="HE108" s="292"/>
      <c r="HF108" s="292"/>
      <c r="HG108" s="292"/>
      <c r="HH108" s="292"/>
      <c r="HI108" s="292"/>
      <c r="HJ108" s="292"/>
      <c r="HK108" s="292"/>
      <c r="HL108" s="292"/>
      <c r="HM108" s="292"/>
      <c r="HN108" s="292"/>
      <c r="HO108" s="292"/>
      <c r="HP108" s="292"/>
      <c r="HQ108" s="292"/>
      <c r="HR108" s="292"/>
      <c r="HS108" s="292"/>
      <c r="HT108" s="292"/>
      <c r="HU108" s="292"/>
      <c r="HV108" s="292"/>
      <c r="HW108" s="292"/>
      <c r="HX108" s="292"/>
      <c r="HY108" s="292"/>
      <c r="HZ108" s="292"/>
      <c r="IA108" s="292"/>
      <c r="IB108" s="292"/>
      <c r="IC108" s="292"/>
      <c r="ID108" s="292"/>
      <c r="IE108" s="292"/>
      <c r="IF108" s="292"/>
      <c r="IG108" s="292"/>
      <c r="IH108" s="292"/>
      <c r="II108" s="292"/>
      <c r="IJ108" s="292"/>
      <c r="IK108" s="292"/>
      <c r="IL108" s="292"/>
      <c r="IM108" s="292"/>
      <c r="IN108" s="292"/>
      <c r="IO108" s="292"/>
      <c r="IP108" s="292"/>
      <c r="IQ108" s="292"/>
      <c r="IR108" s="292"/>
      <c r="IS108" s="292"/>
      <c r="IT108" s="292"/>
      <c r="IU108" s="292"/>
      <c r="IV108" s="292"/>
      <c r="IW108" s="292"/>
      <c r="IX108" s="292"/>
      <c r="IY108" s="292"/>
      <c r="IZ108" s="292"/>
      <c r="JA108" s="292"/>
      <c r="JB108" s="292"/>
      <c r="JC108" s="292"/>
      <c r="JD108" s="292"/>
      <c r="JE108" s="292"/>
      <c r="JF108" s="292"/>
      <c r="JG108" s="292"/>
      <c r="JH108" s="292"/>
      <c r="JI108" s="292"/>
      <c r="JJ108" s="292"/>
      <c r="JK108" s="292"/>
      <c r="JL108" s="292"/>
      <c r="JM108" s="292"/>
      <c r="JN108" s="292"/>
      <c r="JO108" s="292"/>
      <c r="JP108" s="292"/>
      <c r="JQ108" s="292"/>
      <c r="JR108" s="292"/>
      <c r="JS108" s="292"/>
      <c r="JT108" s="292"/>
      <c r="JU108" s="292"/>
      <c r="JV108" s="292"/>
      <c r="JW108" s="292"/>
      <c r="JX108" s="292"/>
      <c r="JY108" s="292"/>
      <c r="JZ108" s="292"/>
      <c r="KA108" s="292"/>
      <c r="KB108" s="292"/>
      <c r="KC108" s="292"/>
      <c r="KD108" s="292"/>
      <c r="KE108" s="292"/>
      <c r="KF108" s="292"/>
      <c r="KG108" s="292"/>
      <c r="KH108" s="292"/>
      <c r="KI108" s="292"/>
      <c r="KJ108" s="292"/>
      <c r="KK108" s="292"/>
      <c r="KL108" s="292"/>
      <c r="KM108" s="292"/>
      <c r="KN108" s="292"/>
      <c r="KO108" s="292"/>
      <c r="KP108" s="292"/>
      <c r="KQ108" s="292"/>
      <c r="KR108" s="292"/>
      <c r="KS108" s="292"/>
      <c r="KT108" s="292"/>
      <c r="KU108" s="292"/>
      <c r="KV108" s="292"/>
      <c r="KW108" s="292"/>
      <c r="KX108" s="292"/>
      <c r="KY108" s="292"/>
      <c r="KZ108" s="292"/>
      <c r="LA108" s="292"/>
      <c r="LB108" s="292"/>
      <c r="LC108" s="292"/>
      <c r="LD108" s="292"/>
      <c r="LE108" s="292"/>
      <c r="LF108" s="292"/>
      <c r="LG108" s="292"/>
      <c r="LH108" s="292"/>
      <c r="LI108" s="292"/>
      <c r="LJ108" s="292"/>
      <c r="LK108" s="292"/>
      <c r="LL108" s="292"/>
      <c r="LM108" s="292"/>
      <c r="LN108" s="292"/>
      <c r="LO108" s="292"/>
      <c r="LP108" s="292"/>
      <c r="LQ108" s="292"/>
      <c r="LR108" s="292"/>
      <c r="LS108" s="292"/>
      <c r="LT108" s="292"/>
      <c r="LU108" s="292"/>
      <c r="LV108" s="292"/>
      <c r="LW108" s="292"/>
      <c r="LX108" s="292"/>
      <c r="LY108" s="292"/>
      <c r="LZ108" s="292"/>
      <c r="MA108" s="292"/>
      <c r="MB108" s="292"/>
      <c r="MC108" s="292"/>
      <c r="MD108" s="292"/>
      <c r="ME108" s="292"/>
      <c r="MF108" s="292"/>
      <c r="MG108" s="292"/>
      <c r="MH108" s="292"/>
      <c r="MI108" s="292"/>
      <c r="MJ108" s="292"/>
      <c r="MK108" s="292"/>
      <c r="ML108" s="292"/>
      <c r="MM108" s="292"/>
      <c r="MN108" s="292"/>
      <c r="MO108" s="292"/>
      <c r="MP108" s="292"/>
      <c r="MQ108" s="292"/>
      <c r="MR108" s="292"/>
      <c r="MS108" s="292"/>
      <c r="MT108" s="292"/>
      <c r="MU108" s="292"/>
      <c r="MV108" s="292"/>
      <c r="MW108" s="292"/>
      <c r="MX108" s="292"/>
      <c r="MY108" s="292"/>
      <c r="MZ108" s="292"/>
      <c r="NA108" s="292"/>
      <c r="NB108" s="292"/>
      <c r="NC108" s="292"/>
      <c r="ND108" s="292"/>
      <c r="NE108" s="292"/>
      <c r="NF108" s="292"/>
      <c r="NG108" s="292"/>
      <c r="NH108" s="292"/>
      <c r="NI108" s="292"/>
      <c r="NJ108" s="292"/>
      <c r="NK108" s="292"/>
      <c r="NL108" s="292"/>
      <c r="NM108" s="292"/>
      <c r="NN108" s="292"/>
      <c r="NO108" s="292"/>
      <c r="NP108" s="292"/>
      <c r="NQ108" s="292"/>
      <c r="NR108" s="292"/>
      <c r="NS108" s="292"/>
      <c r="NT108" s="292"/>
      <c r="NU108" s="292"/>
      <c r="NV108" s="292"/>
      <c r="NW108" s="292"/>
      <c r="NX108" s="292"/>
      <c r="NY108" s="568"/>
      <c r="NZ108" s="568"/>
      <c r="OA108" s="575"/>
      <c r="OB108" s="575"/>
      <c r="OC108" s="578"/>
      <c r="OD108" s="578"/>
    </row>
    <row r="109" spans="1:394" s="20" customFormat="1" ht="12" customHeight="1">
      <c r="D109" s="82"/>
      <c r="E109" s="82"/>
      <c r="F109" s="82"/>
      <c r="G109" s="44"/>
      <c r="H109" s="67"/>
      <c r="K109" s="17"/>
      <c r="L109" s="17"/>
      <c r="O109" s="17"/>
      <c r="Z109" s="17"/>
      <c r="AL109" s="17"/>
      <c r="AN109" s="17"/>
      <c r="AO109" s="17"/>
      <c r="BZ109" s="60"/>
      <c r="CB109" s="292"/>
      <c r="CF109" s="53" t="s">
        <v>54</v>
      </c>
      <c r="CG109" s="54" t="s">
        <v>6</v>
      </c>
      <c r="CH109" s="195" t="s">
        <v>256</v>
      </c>
      <c r="CI109" s="195" t="s">
        <v>268</v>
      </c>
      <c r="CJ109" s="195" t="s">
        <v>278</v>
      </c>
      <c r="CK109" s="195" t="s">
        <v>310</v>
      </c>
      <c r="CL109" s="195" t="s">
        <v>326</v>
      </c>
      <c r="CM109" s="195" t="s">
        <v>339</v>
      </c>
      <c r="CZ109" s="22"/>
      <c r="EG109" s="292"/>
      <c r="EH109" s="292"/>
      <c r="EI109" s="292"/>
      <c r="EJ109" s="292"/>
      <c r="EK109" s="292"/>
      <c r="EL109" s="292"/>
      <c r="EM109" s="292"/>
      <c r="EN109" s="292"/>
      <c r="EO109" s="292"/>
      <c r="EP109" s="292"/>
      <c r="EQ109" s="292"/>
      <c r="ER109" s="292"/>
      <c r="ES109" s="292"/>
      <c r="ET109" s="292"/>
      <c r="EU109" s="292"/>
      <c r="EV109" s="292"/>
      <c r="EW109" s="292"/>
      <c r="EX109" s="292"/>
      <c r="FA109" s="292"/>
      <c r="FB109" s="292"/>
      <c r="FC109" s="292"/>
      <c r="FD109" s="292"/>
      <c r="FE109" s="292"/>
      <c r="FF109" s="292"/>
      <c r="FG109" s="292"/>
      <c r="FH109" s="292"/>
      <c r="FI109" s="292"/>
      <c r="FJ109" s="292"/>
      <c r="FK109" s="292"/>
      <c r="FL109" s="292"/>
      <c r="FM109" s="292"/>
      <c r="FN109" s="292"/>
      <c r="FO109" s="292"/>
      <c r="FP109" s="292"/>
      <c r="FQ109" s="292"/>
      <c r="FR109" s="292"/>
      <c r="FS109" s="292"/>
      <c r="FT109" s="292"/>
      <c r="FU109" s="292"/>
      <c r="FV109" s="292"/>
      <c r="FW109" s="292"/>
      <c r="FX109" s="292"/>
      <c r="FY109" s="292"/>
      <c r="FZ109" s="292"/>
      <c r="GA109" s="292"/>
      <c r="GB109" s="292"/>
      <c r="GC109" s="292"/>
      <c r="GD109" s="292"/>
      <c r="GE109" s="292"/>
      <c r="GF109" s="292"/>
      <c r="GG109" s="292"/>
      <c r="GH109" s="292"/>
      <c r="GI109" s="292"/>
      <c r="GJ109" s="292"/>
      <c r="GK109" s="292"/>
      <c r="GL109" s="292"/>
      <c r="GM109" s="292"/>
      <c r="GN109" s="292"/>
      <c r="GO109" s="292"/>
      <c r="GP109" s="292"/>
      <c r="GQ109" s="292"/>
      <c r="GR109" s="292"/>
      <c r="GS109" s="292"/>
      <c r="GT109" s="292"/>
      <c r="GU109" s="292"/>
      <c r="GV109" s="292"/>
      <c r="GW109" s="292"/>
      <c r="GX109" s="292"/>
      <c r="GY109" s="292"/>
      <c r="GZ109" s="292"/>
      <c r="HA109" s="292"/>
      <c r="HB109" s="292"/>
      <c r="HC109" s="292"/>
      <c r="HD109" s="292"/>
      <c r="HE109" s="292"/>
      <c r="HF109" s="292"/>
      <c r="HG109" s="292"/>
      <c r="HH109" s="292"/>
      <c r="HI109" s="292"/>
      <c r="HJ109" s="292"/>
      <c r="HK109" s="292"/>
      <c r="HL109" s="292"/>
      <c r="HM109" s="292"/>
      <c r="HN109" s="292"/>
      <c r="HO109" s="292"/>
      <c r="HP109" s="292"/>
      <c r="HQ109" s="292"/>
      <c r="HR109" s="292"/>
      <c r="HS109" s="292"/>
      <c r="HT109" s="292"/>
      <c r="HU109" s="292"/>
      <c r="HV109" s="292"/>
      <c r="HW109" s="292"/>
      <c r="HX109" s="292"/>
      <c r="HY109" s="292"/>
      <c r="HZ109" s="292"/>
      <c r="IA109" s="292"/>
      <c r="IB109" s="292"/>
      <c r="IC109" s="292"/>
      <c r="ID109" s="292"/>
      <c r="IE109" s="292"/>
      <c r="IF109" s="292"/>
      <c r="IG109" s="292"/>
      <c r="IH109" s="292"/>
      <c r="II109" s="292"/>
      <c r="IJ109" s="292"/>
      <c r="IK109" s="292"/>
      <c r="IL109" s="292"/>
      <c r="IM109" s="292"/>
      <c r="IN109" s="292"/>
      <c r="IO109" s="292"/>
      <c r="IP109" s="292"/>
      <c r="IQ109" s="292"/>
      <c r="IR109" s="292"/>
      <c r="IS109" s="292"/>
      <c r="IT109" s="292"/>
      <c r="IU109" s="292"/>
      <c r="IV109" s="292"/>
      <c r="IW109" s="292"/>
      <c r="IX109" s="292"/>
      <c r="IY109" s="292"/>
      <c r="IZ109" s="292"/>
      <c r="JA109" s="292"/>
      <c r="JB109" s="292"/>
      <c r="JC109" s="292"/>
      <c r="JD109" s="292"/>
      <c r="JE109" s="292"/>
      <c r="JF109" s="292"/>
      <c r="JG109" s="292"/>
      <c r="JH109" s="292"/>
      <c r="JI109" s="292"/>
      <c r="JJ109" s="292"/>
      <c r="JK109" s="292"/>
      <c r="JL109" s="292"/>
      <c r="JM109" s="292"/>
      <c r="JN109" s="292"/>
      <c r="JO109" s="292"/>
      <c r="JP109" s="292"/>
      <c r="JQ109" s="292"/>
      <c r="JR109" s="292"/>
      <c r="JS109" s="292"/>
      <c r="JT109" s="292"/>
      <c r="JU109" s="292"/>
      <c r="JV109" s="292"/>
      <c r="JW109" s="292"/>
      <c r="JX109" s="292"/>
      <c r="JY109" s="292"/>
      <c r="JZ109" s="292"/>
      <c r="KA109" s="292"/>
      <c r="KB109" s="292"/>
      <c r="KC109" s="292"/>
      <c r="KD109" s="292"/>
      <c r="KE109" s="292"/>
      <c r="KF109" s="292"/>
      <c r="KG109" s="292"/>
      <c r="KH109" s="292"/>
      <c r="KI109" s="292"/>
      <c r="KJ109" s="292"/>
      <c r="KK109" s="292"/>
      <c r="KL109" s="292"/>
      <c r="KM109" s="292"/>
      <c r="KN109" s="292"/>
      <c r="KO109" s="292"/>
      <c r="KP109" s="292"/>
      <c r="KQ109" s="292"/>
      <c r="KR109" s="292"/>
      <c r="KS109" s="292"/>
      <c r="KT109" s="292"/>
      <c r="KU109" s="292"/>
      <c r="KV109" s="292"/>
      <c r="KW109" s="292"/>
      <c r="KX109" s="292"/>
      <c r="KY109" s="292"/>
      <c r="KZ109" s="292"/>
      <c r="LA109" s="292"/>
      <c r="LB109" s="292"/>
      <c r="LC109" s="292"/>
      <c r="LD109" s="292"/>
      <c r="LE109" s="292"/>
      <c r="LF109" s="292"/>
      <c r="LG109" s="292"/>
      <c r="LH109" s="292"/>
      <c r="LI109" s="292"/>
      <c r="LJ109" s="292"/>
      <c r="LK109" s="292"/>
      <c r="LL109" s="292"/>
      <c r="LM109" s="292"/>
      <c r="LN109" s="292"/>
      <c r="LO109" s="292"/>
      <c r="LP109" s="292"/>
      <c r="LQ109" s="292"/>
      <c r="LR109" s="292"/>
      <c r="LS109" s="292"/>
      <c r="LT109" s="292"/>
      <c r="LU109" s="292"/>
      <c r="LV109" s="292"/>
      <c r="LW109" s="292"/>
      <c r="LX109" s="292"/>
      <c r="LY109" s="292"/>
      <c r="LZ109" s="292"/>
      <c r="MA109" s="292"/>
      <c r="MB109" s="292"/>
      <c r="MC109" s="292"/>
      <c r="MD109" s="292"/>
      <c r="ME109" s="292"/>
      <c r="MF109" s="292"/>
      <c r="MG109" s="292"/>
      <c r="MH109" s="292"/>
      <c r="MI109" s="292"/>
      <c r="MJ109" s="292"/>
      <c r="MK109" s="292"/>
      <c r="ML109" s="292"/>
      <c r="MM109" s="292"/>
      <c r="MN109" s="292"/>
      <c r="MO109" s="292"/>
      <c r="MP109" s="292"/>
      <c r="MQ109" s="292"/>
      <c r="MR109" s="292"/>
      <c r="MS109" s="292"/>
      <c r="MT109" s="292"/>
      <c r="MU109" s="292"/>
      <c r="MV109" s="292"/>
      <c r="MW109" s="292"/>
      <c r="MX109" s="292"/>
      <c r="MY109" s="292"/>
      <c r="MZ109" s="292"/>
      <c r="NA109" s="292"/>
      <c r="NB109" s="292"/>
      <c r="NC109" s="292"/>
      <c r="ND109" s="292"/>
      <c r="NE109" s="292"/>
      <c r="NF109" s="292"/>
      <c r="NG109" s="292"/>
      <c r="NH109" s="292"/>
      <c r="NI109" s="292"/>
      <c r="NJ109" s="292"/>
      <c r="NK109" s="292"/>
      <c r="NL109" s="292"/>
      <c r="NM109" s="292"/>
      <c r="NN109" s="292"/>
      <c r="NO109" s="292"/>
      <c r="NP109" s="292"/>
      <c r="NQ109" s="292"/>
      <c r="NR109" s="292"/>
      <c r="NS109" s="292"/>
      <c r="NT109" s="292"/>
      <c r="NU109" s="292"/>
      <c r="NV109" s="292"/>
      <c r="NW109" s="292"/>
      <c r="NX109" s="292"/>
      <c r="NY109" s="568"/>
      <c r="NZ109" s="568"/>
      <c r="OA109" s="575"/>
      <c r="OB109" s="575"/>
      <c r="OC109" s="578"/>
      <c r="OD109" s="578"/>
    </row>
    <row r="110" spans="1:394" s="20" customFormat="1" ht="12" customHeight="1">
      <c r="D110" s="82"/>
      <c r="E110" s="82"/>
      <c r="F110" s="82"/>
      <c r="G110" s="73"/>
      <c r="H110" s="67"/>
      <c r="K110" s="17"/>
      <c r="L110" s="17"/>
      <c r="O110" s="17"/>
      <c r="Z110" s="17"/>
      <c r="AL110" s="17"/>
      <c r="AN110" s="17"/>
      <c r="AO110" s="17"/>
      <c r="BZ110" s="60"/>
      <c r="CB110" s="292"/>
      <c r="CF110" s="55" t="s">
        <v>24</v>
      </c>
      <c r="CG110" s="123" t="s">
        <v>53</v>
      </c>
      <c r="CH110" s="572">
        <v>0.81</v>
      </c>
      <c r="CI110" s="572">
        <v>0.81</v>
      </c>
      <c r="CJ110" s="572">
        <v>0.81</v>
      </c>
      <c r="CK110" s="572">
        <v>0.81</v>
      </c>
      <c r="CL110" s="572">
        <v>0.81</v>
      </c>
      <c r="CM110" s="572">
        <v>0.85</v>
      </c>
      <c r="CZ110" s="22"/>
      <c r="EG110" s="292"/>
      <c r="EH110" s="292"/>
      <c r="EI110" s="292"/>
      <c r="EJ110" s="292"/>
      <c r="EK110" s="292"/>
      <c r="EL110" s="292"/>
      <c r="EM110" s="292"/>
      <c r="EN110" s="292"/>
      <c r="EO110" s="292"/>
      <c r="EP110" s="292"/>
      <c r="EQ110" s="292"/>
      <c r="ER110" s="292"/>
      <c r="ES110" s="292"/>
      <c r="ET110" s="292"/>
      <c r="EU110" s="292"/>
      <c r="EV110" s="292"/>
      <c r="EW110" s="292"/>
      <c r="EX110" s="292"/>
      <c r="FA110" s="292"/>
      <c r="FB110" s="292"/>
      <c r="FC110" s="292"/>
      <c r="FD110" s="292"/>
      <c r="FE110" s="292"/>
      <c r="FF110" s="292"/>
      <c r="FG110" s="292"/>
      <c r="FH110" s="292"/>
      <c r="FI110" s="292"/>
      <c r="FJ110" s="292"/>
      <c r="FK110" s="292"/>
      <c r="FL110" s="292"/>
      <c r="FM110" s="292"/>
      <c r="FN110" s="292"/>
      <c r="FO110" s="292"/>
      <c r="FP110" s="292"/>
      <c r="FQ110" s="292"/>
      <c r="FR110" s="292"/>
      <c r="FS110" s="292"/>
      <c r="FT110" s="292"/>
      <c r="FU110" s="292"/>
      <c r="FV110" s="292"/>
      <c r="FW110" s="292"/>
      <c r="FX110" s="292"/>
      <c r="FY110" s="292"/>
      <c r="FZ110" s="292"/>
      <c r="GA110" s="292"/>
      <c r="GB110" s="292"/>
      <c r="GC110" s="292"/>
      <c r="GD110" s="292"/>
      <c r="GE110" s="292"/>
      <c r="GF110" s="292"/>
      <c r="GG110" s="292"/>
      <c r="GH110" s="292"/>
      <c r="GI110" s="292"/>
      <c r="GJ110" s="292"/>
      <c r="GK110" s="292"/>
      <c r="GL110" s="292"/>
      <c r="GM110" s="292"/>
      <c r="GN110" s="292"/>
      <c r="GO110" s="292"/>
      <c r="GP110" s="292"/>
      <c r="GQ110" s="292"/>
      <c r="GR110" s="292"/>
      <c r="GS110" s="292"/>
      <c r="GT110" s="292"/>
      <c r="GU110" s="292"/>
      <c r="GV110" s="292"/>
      <c r="GW110" s="292"/>
      <c r="GX110" s="292"/>
      <c r="GY110" s="292"/>
      <c r="GZ110" s="292"/>
      <c r="HA110" s="292"/>
      <c r="HB110" s="292"/>
      <c r="HC110" s="292"/>
      <c r="HD110" s="292"/>
      <c r="HE110" s="292"/>
      <c r="HF110" s="292"/>
      <c r="HG110" s="292"/>
      <c r="HH110" s="292"/>
      <c r="HI110" s="292"/>
      <c r="HJ110" s="292"/>
      <c r="HK110" s="292"/>
      <c r="HL110" s="292"/>
      <c r="HM110" s="292"/>
      <c r="HN110" s="292"/>
      <c r="HO110" s="292"/>
      <c r="HP110" s="292"/>
      <c r="HQ110" s="292"/>
      <c r="HR110" s="292"/>
      <c r="HS110" s="292"/>
      <c r="HT110" s="292"/>
      <c r="HU110" s="292"/>
      <c r="HV110" s="292"/>
      <c r="HW110" s="292"/>
      <c r="HX110" s="292"/>
      <c r="HY110" s="292"/>
      <c r="HZ110" s="292"/>
      <c r="IA110" s="292"/>
      <c r="IB110" s="292"/>
      <c r="IC110" s="292"/>
      <c r="ID110" s="292"/>
      <c r="IE110" s="292"/>
      <c r="IF110" s="292"/>
      <c r="IG110" s="292"/>
      <c r="IH110" s="292"/>
      <c r="II110" s="292"/>
      <c r="IJ110" s="292"/>
      <c r="IK110" s="292"/>
      <c r="IL110" s="292"/>
      <c r="IM110" s="292"/>
      <c r="IN110" s="292"/>
      <c r="IO110" s="292"/>
      <c r="IP110" s="292"/>
      <c r="IQ110" s="292"/>
      <c r="IR110" s="292"/>
      <c r="IS110" s="292"/>
      <c r="IT110" s="292"/>
      <c r="IU110" s="292"/>
      <c r="IV110" s="292"/>
      <c r="IW110" s="292"/>
      <c r="IX110" s="292"/>
      <c r="IY110" s="292"/>
      <c r="IZ110" s="292"/>
      <c r="JA110" s="292"/>
      <c r="JB110" s="292"/>
      <c r="JC110" s="292"/>
      <c r="JD110" s="292"/>
      <c r="JE110" s="292"/>
      <c r="JF110" s="292"/>
      <c r="JG110" s="292"/>
      <c r="JH110" s="292"/>
      <c r="JI110" s="292"/>
      <c r="JJ110" s="292"/>
      <c r="JK110" s="292"/>
      <c r="JL110" s="292"/>
      <c r="JM110" s="292"/>
      <c r="JN110" s="292"/>
      <c r="JO110" s="292"/>
      <c r="JP110" s="292"/>
      <c r="JQ110" s="292"/>
      <c r="JR110" s="292"/>
      <c r="JS110" s="292"/>
      <c r="JT110" s="292"/>
      <c r="JU110" s="292"/>
      <c r="JV110" s="292"/>
      <c r="JW110" s="292"/>
      <c r="JX110" s="292"/>
      <c r="JY110" s="292"/>
      <c r="JZ110" s="292"/>
      <c r="KA110" s="292"/>
      <c r="KB110" s="292"/>
      <c r="KC110" s="292"/>
      <c r="KD110" s="292"/>
      <c r="KE110" s="292"/>
      <c r="KF110" s="292"/>
      <c r="KG110" s="292"/>
      <c r="KH110" s="292"/>
      <c r="KI110" s="292"/>
      <c r="KJ110" s="292"/>
      <c r="KK110" s="292"/>
      <c r="KL110" s="292"/>
      <c r="KM110" s="292"/>
      <c r="KN110" s="292"/>
      <c r="KO110" s="292"/>
      <c r="KP110" s="292"/>
      <c r="KQ110" s="292"/>
      <c r="KR110" s="292"/>
      <c r="KS110" s="292"/>
      <c r="KT110" s="292"/>
      <c r="KU110" s="292"/>
      <c r="KV110" s="292"/>
      <c r="KW110" s="292"/>
      <c r="KX110" s="292"/>
      <c r="KY110" s="292"/>
      <c r="KZ110" s="292"/>
      <c r="LA110" s="292"/>
      <c r="LB110" s="292"/>
      <c r="LC110" s="292"/>
      <c r="LD110" s="292"/>
      <c r="LE110" s="292"/>
      <c r="LF110" s="292"/>
      <c r="LG110" s="292"/>
      <c r="LH110" s="292"/>
      <c r="LI110" s="292"/>
      <c r="LJ110" s="292"/>
      <c r="LK110" s="292"/>
      <c r="LL110" s="292"/>
      <c r="LM110" s="292"/>
      <c r="LN110" s="292"/>
      <c r="LO110" s="292"/>
      <c r="LP110" s="292"/>
      <c r="LQ110" s="292"/>
      <c r="LR110" s="292"/>
      <c r="LS110" s="292"/>
      <c r="LT110" s="292"/>
      <c r="LU110" s="292"/>
      <c r="LV110" s="292"/>
      <c r="LW110" s="292"/>
      <c r="LX110" s="292"/>
      <c r="LY110" s="292"/>
      <c r="LZ110" s="292"/>
      <c r="MA110" s="292"/>
      <c r="MB110" s="292"/>
      <c r="MC110" s="292"/>
      <c r="MD110" s="292"/>
      <c r="ME110" s="292"/>
      <c r="MF110" s="292"/>
      <c r="MG110" s="292"/>
      <c r="MH110" s="292"/>
      <c r="MI110" s="292"/>
      <c r="MJ110" s="292"/>
      <c r="MK110" s="292"/>
      <c r="ML110" s="292"/>
      <c r="MM110" s="292"/>
      <c r="MN110" s="292"/>
      <c r="MO110" s="292"/>
      <c r="MP110" s="292"/>
      <c r="MQ110" s="292"/>
      <c r="MR110" s="292"/>
      <c r="MS110" s="292"/>
      <c r="MT110" s="292"/>
      <c r="MU110" s="292"/>
      <c r="MV110" s="292"/>
      <c r="MW110" s="292"/>
      <c r="MX110" s="292"/>
      <c r="MY110" s="292"/>
      <c r="MZ110" s="292"/>
      <c r="NA110" s="292"/>
      <c r="NB110" s="292"/>
      <c r="NC110" s="292"/>
      <c r="ND110" s="292"/>
      <c r="NE110" s="292"/>
      <c r="NF110" s="292"/>
      <c r="NG110" s="292"/>
      <c r="NH110" s="292"/>
      <c r="NI110" s="292"/>
      <c r="NJ110" s="292"/>
      <c r="NK110" s="292"/>
      <c r="NL110" s="292"/>
      <c r="NM110" s="292"/>
      <c r="NN110" s="292"/>
      <c r="NO110" s="292"/>
      <c r="NP110" s="292"/>
      <c r="NQ110" s="292"/>
      <c r="NR110" s="292"/>
      <c r="NS110" s="292"/>
      <c r="NT110" s="292"/>
      <c r="NU110" s="292"/>
      <c r="NV110" s="292"/>
      <c r="NW110" s="292"/>
      <c r="NX110" s="292"/>
      <c r="NY110" s="568"/>
      <c r="NZ110" s="568"/>
      <c r="OA110" s="575"/>
      <c r="OB110" s="575"/>
      <c r="OC110" s="578"/>
      <c r="OD110" s="578"/>
    </row>
    <row r="111" spans="1:394" s="20" customFormat="1" ht="12" customHeight="1">
      <c r="D111" s="82"/>
      <c r="E111" s="82"/>
      <c r="F111" s="82"/>
      <c r="G111" s="82"/>
      <c r="H111" s="67"/>
      <c r="K111" s="17"/>
      <c r="L111" s="17"/>
      <c r="O111" s="17"/>
      <c r="Z111" s="17"/>
      <c r="AL111" s="17"/>
      <c r="AN111" s="17"/>
      <c r="AO111" s="17"/>
      <c r="CB111" s="292"/>
      <c r="CF111" s="105"/>
      <c r="CG111" s="258" t="s">
        <v>60</v>
      </c>
      <c r="CH111" s="572">
        <f t="shared" ref="CH111:CJ111" si="14">100%-CH110</f>
        <v>0.18999999999999995</v>
      </c>
      <c r="CI111" s="572">
        <f t="shared" si="14"/>
        <v>0.18999999999999995</v>
      </c>
      <c r="CJ111" s="572">
        <f t="shared" si="14"/>
        <v>0.18999999999999995</v>
      </c>
      <c r="CK111" s="572">
        <f t="shared" ref="CK111" si="15">100%-CK110</f>
        <v>0.18999999999999995</v>
      </c>
      <c r="CL111" s="572">
        <f t="shared" ref="CL111:CM111" si="16">100%-CL110</f>
        <v>0.18999999999999995</v>
      </c>
      <c r="CM111" s="572">
        <f t="shared" si="16"/>
        <v>0.15000000000000002</v>
      </c>
      <c r="CZ111" s="22"/>
      <c r="EG111" s="292"/>
      <c r="EH111" s="292"/>
      <c r="EI111" s="292"/>
      <c r="EJ111" s="292"/>
      <c r="EK111" s="292"/>
      <c r="EL111" s="292"/>
      <c r="EM111" s="292"/>
      <c r="EN111" s="292"/>
      <c r="EO111" s="292"/>
      <c r="EP111" s="292"/>
      <c r="EQ111" s="292"/>
      <c r="ER111" s="292"/>
      <c r="ES111" s="292"/>
      <c r="ET111" s="292"/>
      <c r="EU111" s="292"/>
      <c r="EV111" s="292"/>
      <c r="EW111" s="292"/>
      <c r="EX111" s="292"/>
      <c r="FA111" s="292"/>
      <c r="FB111" s="292"/>
      <c r="FC111" s="292"/>
      <c r="FD111" s="292"/>
      <c r="FE111" s="292"/>
      <c r="FF111" s="292"/>
      <c r="FG111" s="292"/>
      <c r="FH111" s="292"/>
      <c r="FI111" s="292"/>
      <c r="FJ111" s="292"/>
      <c r="FK111" s="292"/>
      <c r="FL111" s="292"/>
      <c r="FM111" s="292"/>
      <c r="FN111" s="292"/>
      <c r="FO111" s="292"/>
      <c r="FP111" s="292"/>
      <c r="FQ111" s="292"/>
      <c r="FR111" s="292"/>
      <c r="FS111" s="292"/>
      <c r="FT111" s="292"/>
      <c r="FU111" s="292"/>
      <c r="FV111" s="292"/>
      <c r="FW111" s="292"/>
      <c r="FX111" s="292"/>
      <c r="FY111" s="292"/>
      <c r="FZ111" s="292"/>
      <c r="GA111" s="292"/>
      <c r="GB111" s="292"/>
      <c r="GC111" s="292"/>
      <c r="GD111" s="292"/>
      <c r="GE111" s="292"/>
      <c r="GF111" s="292"/>
      <c r="GG111" s="292"/>
      <c r="GH111" s="292"/>
      <c r="GI111" s="292"/>
      <c r="GJ111" s="292"/>
      <c r="GK111" s="292"/>
      <c r="GL111" s="292"/>
      <c r="GM111" s="292"/>
      <c r="GN111" s="292"/>
      <c r="GO111" s="292"/>
      <c r="GP111" s="292"/>
      <c r="GQ111" s="292"/>
      <c r="GR111" s="292"/>
      <c r="GS111" s="292"/>
      <c r="GT111" s="292"/>
      <c r="GU111" s="292"/>
      <c r="GV111" s="292"/>
      <c r="GW111" s="292"/>
      <c r="GX111" s="292"/>
      <c r="GY111" s="292"/>
      <c r="GZ111" s="292"/>
      <c r="HA111" s="292"/>
      <c r="HB111" s="292"/>
      <c r="HC111" s="292"/>
      <c r="HD111" s="292"/>
      <c r="HE111" s="292"/>
      <c r="HF111" s="292"/>
      <c r="HG111" s="292"/>
      <c r="HH111" s="292"/>
      <c r="HI111" s="292"/>
      <c r="HJ111" s="292"/>
      <c r="HK111" s="292"/>
      <c r="HL111" s="292"/>
      <c r="HM111" s="292"/>
      <c r="HN111" s="292"/>
      <c r="HO111" s="292"/>
      <c r="HP111" s="292"/>
      <c r="HQ111" s="292"/>
      <c r="HR111" s="292"/>
      <c r="HS111" s="292"/>
      <c r="HT111" s="292"/>
      <c r="HU111" s="292"/>
      <c r="HV111" s="292"/>
      <c r="HW111" s="292"/>
      <c r="HX111" s="292"/>
      <c r="HY111" s="292"/>
      <c r="HZ111" s="292"/>
      <c r="IA111" s="292"/>
      <c r="IB111" s="292"/>
      <c r="IC111" s="292"/>
      <c r="ID111" s="292"/>
      <c r="IE111" s="292"/>
      <c r="IF111" s="292"/>
      <c r="IG111" s="292"/>
      <c r="IH111" s="292"/>
      <c r="II111" s="292"/>
      <c r="IJ111" s="292"/>
      <c r="IK111" s="292"/>
      <c r="IL111" s="292"/>
      <c r="IM111" s="292"/>
      <c r="IN111" s="292"/>
      <c r="IO111" s="292"/>
      <c r="IP111" s="292"/>
      <c r="IQ111" s="292"/>
      <c r="IR111" s="292"/>
      <c r="IS111" s="292"/>
      <c r="IT111" s="292"/>
      <c r="IU111" s="292"/>
      <c r="IV111" s="292"/>
      <c r="IW111" s="292"/>
      <c r="IX111" s="292"/>
      <c r="IY111" s="292"/>
      <c r="IZ111" s="292"/>
      <c r="JA111" s="292"/>
      <c r="JB111" s="292"/>
      <c r="JC111" s="292"/>
      <c r="JD111" s="292"/>
      <c r="JE111" s="292"/>
      <c r="JF111" s="292"/>
      <c r="JG111" s="292"/>
      <c r="JH111" s="292"/>
      <c r="JI111" s="292"/>
      <c r="JJ111" s="292"/>
      <c r="JK111" s="292"/>
      <c r="JL111" s="292"/>
      <c r="JM111" s="292"/>
      <c r="JN111" s="292"/>
      <c r="JO111" s="292"/>
      <c r="JP111" s="292"/>
      <c r="JQ111" s="292"/>
      <c r="JR111" s="292"/>
      <c r="JS111" s="292"/>
      <c r="JT111" s="292"/>
      <c r="JU111" s="292"/>
      <c r="JV111" s="292"/>
      <c r="JW111" s="292"/>
      <c r="JX111" s="292"/>
      <c r="JY111" s="292"/>
      <c r="JZ111" s="292"/>
      <c r="KA111" s="292"/>
      <c r="KB111" s="292"/>
      <c r="KC111" s="292"/>
      <c r="KD111" s="292"/>
      <c r="KE111" s="292"/>
      <c r="KF111" s="292"/>
      <c r="KG111" s="292"/>
      <c r="KH111" s="292"/>
      <c r="KI111" s="292"/>
      <c r="KJ111" s="292"/>
      <c r="KK111" s="292"/>
      <c r="KL111" s="292"/>
      <c r="KM111" s="292"/>
      <c r="KN111" s="292"/>
      <c r="KO111" s="292"/>
      <c r="KP111" s="292"/>
      <c r="KQ111" s="292"/>
      <c r="KR111" s="292"/>
      <c r="KS111" s="292"/>
      <c r="KT111" s="292"/>
      <c r="KU111" s="292"/>
      <c r="KV111" s="292"/>
      <c r="KW111" s="292"/>
      <c r="KX111" s="292"/>
      <c r="KY111" s="292"/>
      <c r="KZ111" s="292"/>
      <c r="LA111" s="292"/>
      <c r="LB111" s="292"/>
      <c r="LC111" s="292"/>
      <c r="LD111" s="292"/>
      <c r="LE111" s="292"/>
      <c r="LF111" s="292"/>
      <c r="LG111" s="292"/>
      <c r="LH111" s="292"/>
      <c r="LI111" s="292"/>
      <c r="LJ111" s="292"/>
      <c r="LK111" s="292"/>
      <c r="LL111" s="292"/>
      <c r="LM111" s="292"/>
      <c r="LN111" s="292"/>
      <c r="LO111" s="292"/>
      <c r="LP111" s="292"/>
      <c r="LQ111" s="292"/>
      <c r="LR111" s="292"/>
      <c r="LS111" s="292"/>
      <c r="LT111" s="292"/>
      <c r="LU111" s="292"/>
      <c r="LV111" s="292"/>
      <c r="LW111" s="292"/>
      <c r="LX111" s="292"/>
      <c r="LY111" s="292"/>
      <c r="LZ111" s="292"/>
      <c r="MA111" s="292"/>
      <c r="MB111" s="292"/>
      <c r="MC111" s="292"/>
      <c r="MD111" s="292"/>
      <c r="ME111" s="292"/>
      <c r="MF111" s="292"/>
      <c r="MG111" s="292"/>
      <c r="MH111" s="292"/>
      <c r="MI111" s="292"/>
      <c r="MJ111" s="292"/>
      <c r="MK111" s="292"/>
      <c r="ML111" s="292"/>
      <c r="MM111" s="292"/>
      <c r="MN111" s="292"/>
      <c r="MO111" s="292"/>
      <c r="MP111" s="292"/>
      <c r="MQ111" s="292"/>
      <c r="MR111" s="292"/>
      <c r="MS111" s="292"/>
      <c r="MT111" s="292"/>
      <c r="MU111" s="292"/>
      <c r="MV111" s="292"/>
      <c r="MW111" s="292"/>
      <c r="MX111" s="292"/>
      <c r="MY111" s="292"/>
      <c r="MZ111" s="292"/>
      <c r="NA111" s="292"/>
      <c r="NB111" s="292"/>
      <c r="NC111" s="292"/>
      <c r="ND111" s="292"/>
      <c r="NE111" s="292"/>
      <c r="NF111" s="292"/>
      <c r="NG111" s="292"/>
      <c r="NH111" s="292"/>
      <c r="NI111" s="292"/>
      <c r="NJ111" s="292"/>
      <c r="NK111" s="292"/>
      <c r="NL111" s="292"/>
      <c r="NM111" s="292"/>
      <c r="NN111" s="292"/>
      <c r="NO111" s="292"/>
      <c r="NP111" s="292"/>
      <c r="NQ111" s="292"/>
      <c r="NR111" s="292"/>
      <c r="NS111" s="292"/>
      <c r="NT111" s="292"/>
      <c r="NU111" s="292"/>
      <c r="NV111" s="292"/>
      <c r="NW111" s="292"/>
      <c r="NX111" s="292"/>
      <c r="NY111" s="568"/>
      <c r="NZ111" s="568"/>
      <c r="OA111" s="575"/>
      <c r="OB111" s="575"/>
      <c r="OC111" s="578"/>
      <c r="OD111" s="578"/>
    </row>
    <row r="112" spans="1:394" s="20" customFormat="1" ht="12" customHeight="1">
      <c r="D112" s="82"/>
      <c r="E112" s="82"/>
      <c r="F112" s="82"/>
      <c r="G112" s="73"/>
      <c r="H112" s="67"/>
      <c r="K112" s="17"/>
      <c r="L112" s="17"/>
      <c r="O112" s="17"/>
      <c r="Z112" s="17"/>
      <c r="AL112" s="17"/>
      <c r="AN112" s="17"/>
      <c r="AO112" s="17"/>
      <c r="CB112" s="292"/>
      <c r="CF112" s="58" t="s">
        <v>66</v>
      </c>
      <c r="CG112" s="123" t="s">
        <v>9</v>
      </c>
      <c r="CH112" s="570">
        <v>0</v>
      </c>
      <c r="CI112" s="570">
        <v>0.01</v>
      </c>
      <c r="CJ112" s="570">
        <v>0.02</v>
      </c>
      <c r="CK112" s="570">
        <v>0.14000000000000001</v>
      </c>
      <c r="CL112" s="570">
        <v>0.16</v>
      </c>
      <c r="CM112" s="570">
        <v>0.11</v>
      </c>
      <c r="CZ112" s="22"/>
      <c r="EG112" s="292"/>
      <c r="EH112" s="292"/>
      <c r="EI112" s="292"/>
      <c r="EJ112" s="292"/>
      <c r="EK112" s="292"/>
      <c r="EL112" s="292"/>
      <c r="EM112" s="292"/>
      <c r="EN112" s="292"/>
      <c r="EO112" s="292"/>
      <c r="EP112" s="292"/>
      <c r="EQ112" s="292"/>
      <c r="ER112" s="292"/>
      <c r="ES112" s="292"/>
      <c r="ET112" s="292"/>
      <c r="EU112" s="292"/>
      <c r="EV112" s="292"/>
      <c r="EW112" s="292"/>
      <c r="EX112" s="292"/>
      <c r="FA112" s="292"/>
      <c r="FB112" s="292"/>
      <c r="FC112" s="292"/>
      <c r="FD112" s="292"/>
      <c r="FE112" s="292"/>
      <c r="FF112" s="292"/>
      <c r="FG112" s="292"/>
      <c r="FH112" s="292"/>
      <c r="FI112" s="292"/>
      <c r="FJ112" s="292"/>
      <c r="FK112" s="292"/>
      <c r="FL112" s="292"/>
      <c r="FM112" s="292"/>
      <c r="FN112" s="292"/>
      <c r="FO112" s="292"/>
      <c r="FP112" s="292"/>
      <c r="FQ112" s="292"/>
      <c r="FR112" s="292"/>
      <c r="FS112" s="292"/>
      <c r="FT112" s="292"/>
      <c r="FU112" s="292"/>
      <c r="FV112" s="292"/>
      <c r="FW112" s="292"/>
      <c r="FX112" s="292"/>
      <c r="FY112" s="292"/>
      <c r="FZ112" s="292"/>
      <c r="GA112" s="292"/>
      <c r="GB112" s="292"/>
      <c r="GC112" s="292"/>
      <c r="GD112" s="292"/>
      <c r="GE112" s="292"/>
      <c r="GF112" s="292"/>
      <c r="GG112" s="292"/>
      <c r="GH112" s="292"/>
      <c r="GI112" s="292"/>
      <c r="GJ112" s="292"/>
      <c r="GK112" s="292"/>
      <c r="GL112" s="292"/>
      <c r="GM112" s="292"/>
      <c r="GN112" s="292"/>
      <c r="GO112" s="292"/>
      <c r="GP112" s="292"/>
      <c r="GQ112" s="292"/>
      <c r="GR112" s="292"/>
      <c r="GS112" s="292"/>
      <c r="GT112" s="292"/>
      <c r="GU112" s="292"/>
      <c r="GV112" s="292"/>
      <c r="GW112" s="292"/>
      <c r="GX112" s="292"/>
      <c r="GY112" s="292"/>
      <c r="GZ112" s="292"/>
      <c r="HA112" s="292"/>
      <c r="HB112" s="292"/>
      <c r="HC112" s="292"/>
      <c r="HD112" s="292"/>
      <c r="HE112" s="292"/>
      <c r="HF112" s="292"/>
      <c r="HG112" s="292"/>
      <c r="HH112" s="292"/>
      <c r="HI112" s="292"/>
      <c r="HJ112" s="292"/>
      <c r="HK112" s="292"/>
      <c r="HL112" s="292"/>
      <c r="HM112" s="292"/>
      <c r="HN112" s="292"/>
      <c r="HO112" s="292"/>
      <c r="HP112" s="292"/>
      <c r="HQ112" s="292"/>
      <c r="HR112" s="292"/>
      <c r="HS112" s="292"/>
      <c r="HT112" s="292"/>
      <c r="HU112" s="292"/>
      <c r="HV112" s="292"/>
      <c r="HW112" s="292"/>
      <c r="HX112" s="292"/>
      <c r="HY112" s="292"/>
      <c r="HZ112" s="292"/>
      <c r="IA112" s="292"/>
      <c r="IB112" s="292"/>
      <c r="IC112" s="292"/>
      <c r="ID112" s="292"/>
      <c r="IE112" s="292"/>
      <c r="IF112" s="292"/>
      <c r="IG112" s="292"/>
      <c r="IH112" s="292"/>
      <c r="II112" s="292"/>
      <c r="IJ112" s="292"/>
      <c r="IK112" s="292"/>
      <c r="IL112" s="292"/>
      <c r="IM112" s="292"/>
      <c r="IN112" s="292"/>
      <c r="IO112" s="292"/>
      <c r="IP112" s="292"/>
      <c r="IQ112" s="292"/>
      <c r="IR112" s="292"/>
      <c r="IS112" s="292"/>
      <c r="IT112" s="292"/>
      <c r="IU112" s="292"/>
      <c r="IV112" s="292"/>
      <c r="IW112" s="292"/>
      <c r="IX112" s="292"/>
      <c r="IY112" s="292"/>
      <c r="IZ112" s="292"/>
      <c r="JA112" s="292"/>
      <c r="JB112" s="292"/>
      <c r="JC112" s="292"/>
      <c r="JD112" s="292"/>
      <c r="JE112" s="292"/>
      <c r="JF112" s="292"/>
      <c r="JG112" s="292"/>
      <c r="JH112" s="292"/>
      <c r="JI112" s="292"/>
      <c r="JJ112" s="292"/>
      <c r="JK112" s="292"/>
      <c r="JL112" s="292"/>
      <c r="JM112" s="292"/>
      <c r="JN112" s="292"/>
      <c r="JO112" s="292"/>
      <c r="JP112" s="292"/>
      <c r="JQ112" s="292"/>
      <c r="JR112" s="292"/>
      <c r="JS112" s="292"/>
      <c r="JT112" s="292"/>
      <c r="JU112" s="292"/>
      <c r="JV112" s="292"/>
      <c r="JW112" s="292"/>
      <c r="JX112" s="292"/>
      <c r="JY112" s="292"/>
      <c r="JZ112" s="292"/>
      <c r="KA112" s="292"/>
      <c r="KB112" s="292"/>
      <c r="KC112" s="292"/>
      <c r="KD112" s="292"/>
      <c r="KE112" s="292"/>
      <c r="KF112" s="292"/>
      <c r="KG112" s="292"/>
      <c r="KH112" s="292"/>
      <c r="KI112" s="292"/>
      <c r="KJ112" s="292"/>
      <c r="KK112" s="292"/>
      <c r="KL112" s="292"/>
      <c r="KM112" s="292"/>
      <c r="KN112" s="292"/>
      <c r="KO112" s="292"/>
      <c r="KP112" s="292"/>
      <c r="KQ112" s="292"/>
      <c r="KR112" s="292"/>
      <c r="KS112" s="292"/>
      <c r="KT112" s="292"/>
      <c r="KU112" s="292"/>
      <c r="KV112" s="292"/>
      <c r="KW112" s="292"/>
      <c r="KX112" s="292"/>
      <c r="KY112" s="292"/>
      <c r="KZ112" s="292"/>
      <c r="LA112" s="292"/>
      <c r="LB112" s="292"/>
      <c r="LC112" s="292"/>
      <c r="LD112" s="292"/>
      <c r="LE112" s="292"/>
      <c r="LF112" s="292"/>
      <c r="LG112" s="292"/>
      <c r="LH112" s="292"/>
      <c r="LI112" s="292"/>
      <c r="LJ112" s="292"/>
      <c r="LK112" s="292"/>
      <c r="LL112" s="292"/>
      <c r="LM112" s="292"/>
      <c r="LN112" s="292"/>
      <c r="LO112" s="292"/>
      <c r="LP112" s="292"/>
      <c r="LQ112" s="292"/>
      <c r="LR112" s="292"/>
      <c r="LS112" s="292"/>
      <c r="LT112" s="292"/>
      <c r="LU112" s="292"/>
      <c r="LV112" s="292"/>
      <c r="LW112" s="292"/>
      <c r="LX112" s="292"/>
      <c r="LY112" s="292"/>
      <c r="LZ112" s="292"/>
      <c r="MA112" s="292"/>
      <c r="MB112" s="292"/>
      <c r="MC112" s="292"/>
      <c r="MD112" s="292"/>
      <c r="ME112" s="292"/>
      <c r="MF112" s="292"/>
      <c r="MG112" s="292"/>
      <c r="MH112" s="292"/>
      <c r="MI112" s="292"/>
      <c r="MJ112" s="292"/>
      <c r="MK112" s="292"/>
      <c r="ML112" s="292"/>
      <c r="MM112" s="292"/>
      <c r="MN112" s="292"/>
      <c r="MO112" s="292"/>
      <c r="MP112" s="292"/>
      <c r="MQ112" s="292"/>
      <c r="MR112" s="292"/>
      <c r="MS112" s="292"/>
      <c r="MT112" s="292"/>
      <c r="MU112" s="292"/>
      <c r="MV112" s="292"/>
      <c r="MW112" s="292"/>
      <c r="MX112" s="292"/>
      <c r="MY112" s="292"/>
      <c r="MZ112" s="292"/>
      <c r="NA112" s="292"/>
      <c r="NB112" s="292"/>
      <c r="NC112" s="292"/>
      <c r="ND112" s="292"/>
      <c r="NE112" s="292"/>
      <c r="NF112" s="292"/>
      <c r="NG112" s="292"/>
      <c r="NH112" s="292"/>
      <c r="NI112" s="292"/>
      <c r="NJ112" s="292"/>
      <c r="NK112" s="292"/>
      <c r="NL112" s="292"/>
      <c r="NM112" s="292"/>
      <c r="NN112" s="292"/>
      <c r="NO112" s="292"/>
      <c r="NP112" s="292"/>
      <c r="NQ112" s="292"/>
      <c r="NR112" s="292"/>
      <c r="NS112" s="292"/>
      <c r="NT112" s="292"/>
      <c r="NU112" s="292"/>
      <c r="NV112" s="292"/>
      <c r="NW112" s="292"/>
      <c r="NX112" s="292"/>
      <c r="NY112" s="568"/>
      <c r="NZ112" s="568"/>
      <c r="OA112" s="575"/>
      <c r="OB112" s="575"/>
      <c r="OC112" s="578"/>
      <c r="OD112" s="578"/>
    </row>
    <row r="113" spans="1:394" s="20" customFormat="1" ht="12" customHeight="1">
      <c r="D113" s="82"/>
      <c r="E113" s="82"/>
      <c r="F113" s="82"/>
      <c r="G113" s="73"/>
      <c r="H113" s="67"/>
      <c r="K113" s="17"/>
      <c r="L113" s="17"/>
      <c r="O113" s="17"/>
      <c r="Z113" s="17"/>
      <c r="AL113" s="17"/>
      <c r="AN113" s="17"/>
      <c r="AO113" s="17"/>
      <c r="BC113" s="15"/>
      <c r="BD113" s="15"/>
      <c r="BE113" s="15"/>
      <c r="BF113" s="15"/>
      <c r="BG113" s="15"/>
      <c r="BH113" s="15"/>
      <c r="BI113" s="15"/>
      <c r="BJ113" s="15"/>
      <c r="BK113" s="15"/>
      <c r="BL113" s="15"/>
      <c r="BZ113" s="60"/>
      <c r="CB113" s="292"/>
      <c r="CF113" s="55"/>
      <c r="CG113" s="22" t="s">
        <v>10</v>
      </c>
      <c r="CH113" s="570">
        <v>0</v>
      </c>
      <c r="CI113" s="570">
        <v>0.01</v>
      </c>
      <c r="CJ113" s="570">
        <v>0.06</v>
      </c>
      <c r="CK113" s="570">
        <v>0.04</v>
      </c>
      <c r="CL113" s="570">
        <v>0.05</v>
      </c>
      <c r="CM113" s="570">
        <v>0.05</v>
      </c>
      <c r="CZ113" s="22"/>
      <c r="EG113" s="292"/>
      <c r="EH113" s="292"/>
      <c r="EI113" s="292"/>
      <c r="EJ113" s="292"/>
      <c r="EK113" s="292"/>
      <c r="EL113" s="292"/>
      <c r="EM113" s="292"/>
      <c r="EN113" s="292"/>
      <c r="EO113" s="292"/>
      <c r="EP113" s="292"/>
      <c r="EQ113" s="292"/>
      <c r="ER113" s="292"/>
      <c r="ES113" s="292"/>
      <c r="ET113" s="292"/>
      <c r="EU113" s="292"/>
      <c r="EV113" s="292"/>
      <c r="EW113" s="292"/>
      <c r="EX113" s="292"/>
      <c r="FA113" s="292"/>
      <c r="FB113" s="292"/>
      <c r="FC113" s="292"/>
      <c r="FD113" s="292"/>
      <c r="FE113" s="292"/>
      <c r="FF113" s="292"/>
      <c r="FG113" s="292"/>
      <c r="FH113" s="292"/>
      <c r="FI113" s="292"/>
      <c r="FJ113" s="292"/>
      <c r="FK113" s="292"/>
      <c r="FL113" s="292"/>
      <c r="FM113" s="292"/>
      <c r="FN113" s="292"/>
      <c r="FO113" s="292"/>
      <c r="FP113" s="292"/>
      <c r="FQ113" s="292"/>
      <c r="FR113" s="292"/>
      <c r="FS113" s="292"/>
      <c r="FT113" s="292"/>
      <c r="FU113" s="292"/>
      <c r="FV113" s="292"/>
      <c r="FW113" s="292"/>
      <c r="FX113" s="292"/>
      <c r="FY113" s="292"/>
      <c r="FZ113" s="292"/>
      <c r="GA113" s="292"/>
      <c r="GB113" s="292"/>
      <c r="GC113" s="292"/>
      <c r="GD113" s="292"/>
      <c r="GE113" s="292"/>
      <c r="GF113" s="292"/>
      <c r="GG113" s="292"/>
      <c r="GH113" s="292"/>
      <c r="GI113" s="292"/>
      <c r="GJ113" s="292"/>
      <c r="GK113" s="292"/>
      <c r="GL113" s="292"/>
      <c r="GM113" s="292"/>
      <c r="GN113" s="292"/>
      <c r="GO113" s="292"/>
      <c r="GP113" s="292"/>
      <c r="GQ113" s="292"/>
      <c r="GR113" s="292"/>
      <c r="GS113" s="292"/>
      <c r="GT113" s="292"/>
      <c r="GU113" s="292"/>
      <c r="GV113" s="292"/>
      <c r="GW113" s="292"/>
      <c r="GX113" s="292"/>
      <c r="GY113" s="292"/>
      <c r="GZ113" s="292"/>
      <c r="HA113" s="292"/>
      <c r="HB113" s="292"/>
      <c r="HC113" s="292"/>
      <c r="HD113" s="292"/>
      <c r="HE113" s="292"/>
      <c r="HF113" s="292"/>
      <c r="HG113" s="292"/>
      <c r="HH113" s="292"/>
      <c r="HI113" s="292"/>
      <c r="HJ113" s="292"/>
      <c r="HK113" s="292"/>
      <c r="HL113" s="292"/>
      <c r="HM113" s="292"/>
      <c r="HN113" s="292"/>
      <c r="HO113" s="292"/>
      <c r="HP113" s="292"/>
      <c r="HQ113" s="292"/>
      <c r="HR113" s="292"/>
      <c r="HS113" s="292"/>
      <c r="HT113" s="292"/>
      <c r="HU113" s="292"/>
      <c r="HV113" s="292"/>
      <c r="HW113" s="292"/>
      <c r="HX113" s="292"/>
      <c r="HY113" s="292"/>
      <c r="HZ113" s="292"/>
      <c r="IA113" s="292"/>
      <c r="IB113" s="292"/>
      <c r="IC113" s="292"/>
      <c r="ID113" s="292"/>
      <c r="IE113" s="292"/>
      <c r="IF113" s="292"/>
      <c r="IG113" s="292"/>
      <c r="IH113" s="292"/>
      <c r="II113" s="292"/>
      <c r="IJ113" s="292"/>
      <c r="IK113" s="292"/>
      <c r="IL113" s="292"/>
      <c r="IM113" s="292"/>
      <c r="IN113" s="292"/>
      <c r="IO113" s="292"/>
      <c r="IP113" s="292"/>
      <c r="IQ113" s="292"/>
      <c r="IR113" s="292"/>
      <c r="IS113" s="292"/>
      <c r="IT113" s="292"/>
      <c r="IU113" s="292"/>
      <c r="IV113" s="292"/>
      <c r="IW113" s="292"/>
      <c r="IX113" s="292"/>
      <c r="IY113" s="292"/>
      <c r="IZ113" s="292"/>
      <c r="JA113" s="292"/>
      <c r="JB113" s="292"/>
      <c r="JC113" s="292"/>
      <c r="JD113" s="292"/>
      <c r="JE113" s="292"/>
      <c r="JF113" s="292"/>
      <c r="JG113" s="292"/>
      <c r="JH113" s="292"/>
      <c r="JI113" s="292"/>
      <c r="JJ113" s="292"/>
      <c r="JK113" s="292"/>
      <c r="JL113" s="292"/>
      <c r="JM113" s="292"/>
      <c r="JN113" s="292"/>
      <c r="JO113" s="292"/>
      <c r="JP113" s="292"/>
      <c r="JQ113" s="292"/>
      <c r="JR113" s="292"/>
      <c r="JS113" s="292"/>
      <c r="JT113" s="292"/>
      <c r="JU113" s="292"/>
      <c r="JV113" s="292"/>
      <c r="JW113" s="292"/>
      <c r="JX113" s="292"/>
      <c r="JY113" s="292"/>
      <c r="JZ113" s="292"/>
      <c r="KA113" s="292"/>
      <c r="KB113" s="292"/>
      <c r="KC113" s="292"/>
      <c r="KD113" s="292"/>
      <c r="KE113" s="292"/>
      <c r="KF113" s="292"/>
      <c r="KG113" s="292"/>
      <c r="KH113" s="292"/>
      <c r="KI113" s="292"/>
      <c r="KJ113" s="292"/>
      <c r="KK113" s="292"/>
      <c r="KL113" s="292"/>
      <c r="KM113" s="292"/>
      <c r="KN113" s="292"/>
      <c r="KO113" s="292"/>
      <c r="KP113" s="292"/>
      <c r="KQ113" s="292"/>
      <c r="KR113" s="292"/>
      <c r="KS113" s="292"/>
      <c r="KT113" s="292"/>
      <c r="KU113" s="292"/>
      <c r="KV113" s="292"/>
      <c r="KW113" s="292"/>
      <c r="KX113" s="292"/>
      <c r="KY113" s="292"/>
      <c r="KZ113" s="292"/>
      <c r="LA113" s="292"/>
      <c r="LB113" s="292"/>
      <c r="LC113" s="292"/>
      <c r="LD113" s="292"/>
      <c r="LE113" s="292"/>
      <c r="LF113" s="292"/>
      <c r="LG113" s="292"/>
      <c r="LH113" s="292"/>
      <c r="LI113" s="292"/>
      <c r="LJ113" s="292"/>
      <c r="LK113" s="292"/>
      <c r="LL113" s="292"/>
      <c r="LM113" s="292"/>
      <c r="LN113" s="292"/>
      <c r="LO113" s="292"/>
      <c r="LP113" s="292"/>
      <c r="LQ113" s="292"/>
      <c r="LR113" s="292"/>
      <c r="LS113" s="292"/>
      <c r="LT113" s="292"/>
      <c r="LU113" s="292"/>
      <c r="LV113" s="292"/>
      <c r="LW113" s="292"/>
      <c r="LX113" s="292"/>
      <c r="LY113" s="292"/>
      <c r="LZ113" s="292"/>
      <c r="MA113" s="292"/>
      <c r="MB113" s="292"/>
      <c r="MC113" s="292"/>
      <c r="MD113" s="292"/>
      <c r="ME113" s="292"/>
      <c r="MF113" s="292"/>
      <c r="MG113" s="292"/>
      <c r="MH113" s="292"/>
      <c r="MI113" s="292"/>
      <c r="MJ113" s="292"/>
      <c r="MK113" s="292"/>
      <c r="ML113" s="292"/>
      <c r="MM113" s="292"/>
      <c r="MN113" s="292"/>
      <c r="MO113" s="292"/>
      <c r="MP113" s="292"/>
      <c r="MQ113" s="292"/>
      <c r="MR113" s="292"/>
      <c r="MS113" s="292"/>
      <c r="MT113" s="292"/>
      <c r="MU113" s="292"/>
      <c r="MV113" s="292"/>
      <c r="MW113" s="292"/>
      <c r="MX113" s="292"/>
      <c r="MY113" s="292"/>
      <c r="MZ113" s="292"/>
      <c r="NA113" s="292"/>
      <c r="NB113" s="292"/>
      <c r="NC113" s="292"/>
      <c r="ND113" s="292"/>
      <c r="NE113" s="292"/>
      <c r="NF113" s="292"/>
      <c r="NG113" s="292"/>
      <c r="NH113" s="292"/>
      <c r="NI113" s="292"/>
      <c r="NJ113" s="292"/>
      <c r="NK113" s="292"/>
      <c r="NL113" s="292"/>
      <c r="NM113" s="292"/>
      <c r="NN113" s="292"/>
      <c r="NO113" s="292"/>
      <c r="NP113" s="292"/>
      <c r="NQ113" s="292"/>
      <c r="NR113" s="292"/>
      <c r="NS113" s="292"/>
      <c r="NT113" s="292"/>
      <c r="NU113" s="292"/>
      <c r="NV113" s="292"/>
      <c r="NW113" s="292"/>
      <c r="NX113" s="292"/>
      <c r="NY113" s="568"/>
      <c r="NZ113" s="568"/>
      <c r="OA113" s="575"/>
      <c r="OB113" s="575"/>
      <c r="OC113" s="578"/>
      <c r="OD113" s="578"/>
    </row>
    <row r="114" spans="1:394" s="20" customFormat="1" ht="12" customHeight="1">
      <c r="D114" s="82"/>
      <c r="E114" s="82"/>
      <c r="F114" s="82"/>
      <c r="G114" s="44"/>
      <c r="H114" s="67"/>
      <c r="K114" s="17"/>
      <c r="L114" s="17"/>
      <c r="O114" s="17"/>
      <c r="Z114" s="17"/>
      <c r="AL114" s="17"/>
      <c r="AN114" s="17"/>
      <c r="AO114" s="17"/>
      <c r="BC114" s="15"/>
      <c r="BD114" s="15"/>
      <c r="BE114" s="15"/>
      <c r="BF114" s="15"/>
      <c r="BG114" s="15"/>
      <c r="BH114" s="15"/>
      <c r="BI114" s="15"/>
      <c r="BJ114" s="15"/>
      <c r="BK114" s="15"/>
      <c r="BL114" s="15"/>
      <c r="BZ114" s="60"/>
      <c r="CB114" s="292"/>
      <c r="CF114" s="26"/>
      <c r="CG114" s="25" t="s">
        <v>65</v>
      </c>
      <c r="CH114" s="570">
        <f t="shared" ref="CH114:CK114" si="17">1-CH112-CH113</f>
        <v>1</v>
      </c>
      <c r="CI114" s="570">
        <f t="shared" si="17"/>
        <v>0.98</v>
      </c>
      <c r="CJ114" s="570">
        <f t="shared" si="17"/>
        <v>0.91999999999999993</v>
      </c>
      <c r="CK114" s="570">
        <f t="shared" si="17"/>
        <v>0.82</v>
      </c>
      <c r="CL114" s="570">
        <f t="shared" ref="CL114" si="18">1-CL112-CL113</f>
        <v>0.78999999999999992</v>
      </c>
      <c r="CM114" s="570">
        <f>1-CM113-CM112</f>
        <v>0.84</v>
      </c>
      <c r="CZ114" s="22"/>
      <c r="EG114" s="292"/>
      <c r="EH114" s="292"/>
      <c r="EI114" s="292"/>
      <c r="EJ114" s="292"/>
      <c r="EK114" s="292"/>
      <c r="EL114" s="292"/>
      <c r="EM114" s="292"/>
      <c r="EN114" s="292"/>
      <c r="EO114" s="292"/>
      <c r="EP114" s="292"/>
      <c r="EQ114" s="292"/>
      <c r="ER114" s="292"/>
      <c r="ES114" s="292"/>
      <c r="ET114" s="292"/>
      <c r="EU114" s="292"/>
      <c r="EV114" s="292"/>
      <c r="EW114" s="292"/>
      <c r="EX114" s="292"/>
      <c r="FA114" s="292"/>
      <c r="FB114" s="292"/>
      <c r="FC114" s="292"/>
      <c r="FD114" s="292"/>
      <c r="FE114" s="292"/>
      <c r="FF114" s="292"/>
      <c r="FG114" s="292"/>
      <c r="FH114" s="292"/>
      <c r="FI114" s="292"/>
      <c r="FJ114" s="292"/>
      <c r="FK114" s="292"/>
      <c r="FL114" s="292"/>
      <c r="FM114" s="292"/>
      <c r="FN114" s="292"/>
      <c r="FO114" s="292"/>
      <c r="FP114" s="292"/>
      <c r="FQ114" s="292"/>
      <c r="FR114" s="292"/>
      <c r="FS114" s="292"/>
      <c r="FT114" s="292"/>
      <c r="FU114" s="292"/>
      <c r="FV114" s="292"/>
      <c r="FW114" s="292"/>
      <c r="FX114" s="292"/>
      <c r="FY114" s="292"/>
      <c r="FZ114" s="292"/>
      <c r="GA114" s="292"/>
      <c r="GB114" s="292"/>
      <c r="GC114" s="292"/>
      <c r="GD114" s="292"/>
      <c r="GE114" s="292"/>
      <c r="GF114" s="292"/>
      <c r="GG114" s="292"/>
      <c r="GH114" s="292"/>
      <c r="GI114" s="292"/>
      <c r="GJ114" s="292"/>
      <c r="GK114" s="292"/>
      <c r="GL114" s="292"/>
      <c r="GM114" s="292"/>
      <c r="GN114" s="292"/>
      <c r="GO114" s="292"/>
      <c r="GP114" s="292"/>
      <c r="GQ114" s="292"/>
      <c r="GR114" s="292"/>
      <c r="GS114" s="292"/>
      <c r="GT114" s="292"/>
      <c r="GU114" s="292"/>
      <c r="GV114" s="292"/>
      <c r="GW114" s="292"/>
      <c r="GX114" s="292"/>
      <c r="GY114" s="292"/>
      <c r="GZ114" s="292"/>
      <c r="HA114" s="292"/>
      <c r="HB114" s="292"/>
      <c r="HC114" s="292"/>
      <c r="HD114" s="292"/>
      <c r="HE114" s="292"/>
      <c r="HF114" s="292"/>
      <c r="HG114" s="292"/>
      <c r="HH114" s="292"/>
      <c r="HI114" s="292"/>
      <c r="HJ114" s="292"/>
      <c r="HK114" s="292"/>
      <c r="HL114" s="292"/>
      <c r="HM114" s="292"/>
      <c r="HN114" s="292"/>
      <c r="HO114" s="292"/>
      <c r="HP114" s="292"/>
      <c r="HQ114" s="292"/>
      <c r="HR114" s="292"/>
      <c r="HS114" s="292"/>
      <c r="HT114" s="292"/>
      <c r="HU114" s="292"/>
      <c r="HV114" s="292"/>
      <c r="HW114" s="292"/>
      <c r="HX114" s="292"/>
      <c r="HY114" s="292"/>
      <c r="HZ114" s="292"/>
      <c r="IA114" s="292"/>
      <c r="IB114" s="292"/>
      <c r="IC114" s="292"/>
      <c r="ID114" s="292"/>
      <c r="IE114" s="292"/>
      <c r="IF114" s="292"/>
      <c r="IG114" s="292"/>
      <c r="IH114" s="292"/>
      <c r="II114" s="292"/>
      <c r="IJ114" s="292"/>
      <c r="IK114" s="292"/>
      <c r="IL114" s="292"/>
      <c r="IM114" s="292"/>
      <c r="IN114" s="292"/>
      <c r="IO114" s="292"/>
      <c r="IP114" s="292"/>
      <c r="IQ114" s="292"/>
      <c r="IR114" s="292"/>
      <c r="IS114" s="292"/>
      <c r="IT114" s="292"/>
      <c r="IU114" s="292"/>
      <c r="IV114" s="292"/>
      <c r="IW114" s="292"/>
      <c r="IX114" s="292"/>
      <c r="IY114" s="292"/>
      <c r="IZ114" s="292"/>
      <c r="JA114" s="292"/>
      <c r="JB114" s="292"/>
      <c r="JC114" s="292"/>
      <c r="JD114" s="292"/>
      <c r="JE114" s="292"/>
      <c r="JF114" s="292"/>
      <c r="JG114" s="292"/>
      <c r="JH114" s="292"/>
      <c r="JI114" s="292"/>
      <c r="JJ114" s="292"/>
      <c r="JK114" s="292"/>
      <c r="JL114" s="292"/>
      <c r="JM114" s="292"/>
      <c r="JN114" s="292"/>
      <c r="JO114" s="292"/>
      <c r="JP114" s="292"/>
      <c r="JQ114" s="292"/>
      <c r="JR114" s="292"/>
      <c r="JS114" s="292"/>
      <c r="JT114" s="292"/>
      <c r="JU114" s="292"/>
      <c r="JV114" s="292"/>
      <c r="JW114" s="292"/>
      <c r="JX114" s="292"/>
      <c r="JY114" s="292"/>
      <c r="JZ114" s="292"/>
      <c r="KA114" s="292"/>
      <c r="KB114" s="292"/>
      <c r="KC114" s="292"/>
      <c r="KD114" s="292"/>
      <c r="KE114" s="292"/>
      <c r="KF114" s="292"/>
      <c r="KG114" s="292"/>
      <c r="KH114" s="292"/>
      <c r="KI114" s="292"/>
      <c r="KJ114" s="292"/>
      <c r="KK114" s="292"/>
      <c r="KL114" s="292"/>
      <c r="KM114" s="292"/>
      <c r="KN114" s="292"/>
      <c r="KO114" s="292"/>
      <c r="KP114" s="292"/>
      <c r="KQ114" s="292"/>
      <c r="KR114" s="292"/>
      <c r="KS114" s="292"/>
      <c r="KT114" s="292"/>
      <c r="KU114" s="292"/>
      <c r="KV114" s="292"/>
      <c r="KW114" s="292"/>
      <c r="KX114" s="292"/>
      <c r="KY114" s="292"/>
      <c r="KZ114" s="292"/>
      <c r="LA114" s="292"/>
      <c r="LB114" s="292"/>
      <c r="LC114" s="292"/>
      <c r="LD114" s="292"/>
      <c r="LE114" s="292"/>
      <c r="LF114" s="292"/>
      <c r="LG114" s="292"/>
      <c r="LH114" s="292"/>
      <c r="LI114" s="292"/>
      <c r="LJ114" s="292"/>
      <c r="LK114" s="292"/>
      <c r="LL114" s="292"/>
      <c r="LM114" s="292"/>
      <c r="LN114" s="292"/>
      <c r="LO114" s="292"/>
      <c r="LP114" s="292"/>
      <c r="LQ114" s="292"/>
      <c r="LR114" s="292"/>
      <c r="LS114" s="292"/>
      <c r="LT114" s="292"/>
      <c r="LU114" s="292"/>
      <c r="LV114" s="292"/>
      <c r="LW114" s="292"/>
      <c r="LX114" s="292"/>
      <c r="LY114" s="292"/>
      <c r="LZ114" s="292"/>
      <c r="MA114" s="292"/>
      <c r="MB114" s="292"/>
      <c r="MC114" s="292"/>
      <c r="MD114" s="292"/>
      <c r="ME114" s="292"/>
      <c r="MF114" s="292"/>
      <c r="MG114" s="292"/>
      <c r="MH114" s="292"/>
      <c r="MI114" s="292"/>
      <c r="MJ114" s="292"/>
      <c r="MK114" s="292"/>
      <c r="ML114" s="292"/>
      <c r="MM114" s="292"/>
      <c r="MN114" s="292"/>
      <c r="MO114" s="292"/>
      <c r="MP114" s="292"/>
      <c r="MQ114" s="292"/>
      <c r="MR114" s="292"/>
      <c r="MS114" s="292"/>
      <c r="MT114" s="292"/>
      <c r="MU114" s="292"/>
      <c r="MV114" s="292"/>
      <c r="MW114" s="292"/>
      <c r="MX114" s="292"/>
      <c r="MY114" s="292"/>
      <c r="MZ114" s="292"/>
      <c r="NA114" s="292"/>
      <c r="NB114" s="292"/>
      <c r="NC114" s="292"/>
      <c r="ND114" s="292"/>
      <c r="NE114" s="292"/>
      <c r="NF114" s="292"/>
      <c r="NG114" s="292"/>
      <c r="NH114" s="292"/>
      <c r="NI114" s="292"/>
      <c r="NJ114" s="292"/>
      <c r="NK114" s="292"/>
      <c r="NL114" s="292"/>
      <c r="NM114" s="292"/>
      <c r="NN114" s="292"/>
      <c r="NO114" s="292"/>
      <c r="NP114" s="292"/>
      <c r="NQ114" s="292"/>
      <c r="NR114" s="292"/>
      <c r="NS114" s="292"/>
      <c r="NT114" s="292"/>
      <c r="NU114" s="292"/>
      <c r="NV114" s="292"/>
      <c r="NW114" s="292"/>
      <c r="NX114" s="292"/>
      <c r="NY114" s="568"/>
      <c r="NZ114" s="568"/>
      <c r="OA114" s="575"/>
      <c r="OB114" s="575"/>
      <c r="OC114" s="578"/>
      <c r="OD114" s="578"/>
    </row>
    <row r="115" spans="1:394" s="20" customFormat="1" ht="12" hidden="1" customHeight="1">
      <c r="D115" s="82"/>
      <c r="E115" s="82"/>
      <c r="F115" s="82"/>
      <c r="G115" s="44"/>
      <c r="H115" s="67"/>
      <c r="K115" s="17"/>
      <c r="L115" s="17"/>
      <c r="O115" s="17"/>
      <c r="Z115" s="17"/>
      <c r="AL115" s="17"/>
      <c r="AN115" s="17"/>
      <c r="AO115" s="17"/>
      <c r="BC115" s="15"/>
      <c r="BD115" s="15"/>
      <c r="BE115" s="15"/>
      <c r="BF115" s="15"/>
      <c r="BG115" s="15"/>
      <c r="BH115" s="15"/>
      <c r="BI115" s="15"/>
      <c r="BJ115" s="15"/>
      <c r="BK115" s="15"/>
      <c r="BL115" s="15"/>
      <c r="BZ115" s="60"/>
      <c r="CB115" s="292"/>
      <c r="CF115" s="81"/>
      <c r="CG115" s="291"/>
      <c r="CH115" s="464"/>
      <c r="CI115" s="464"/>
      <c r="CJ115" s="464"/>
      <c r="CK115" s="464"/>
      <c r="CL115" s="464"/>
      <c r="CM115" s="464"/>
      <c r="CZ115" s="22"/>
      <c r="EG115" s="292"/>
      <c r="EH115" s="292"/>
      <c r="EI115" s="292"/>
      <c r="EJ115" s="292"/>
      <c r="EK115" s="292"/>
      <c r="EL115" s="292"/>
      <c r="EM115" s="292"/>
      <c r="EN115" s="292"/>
      <c r="EO115" s="292"/>
      <c r="EP115" s="292"/>
      <c r="EQ115" s="292"/>
      <c r="ER115" s="292"/>
      <c r="ES115" s="292"/>
      <c r="ET115" s="292"/>
      <c r="EU115" s="292"/>
      <c r="EV115" s="292"/>
      <c r="EW115" s="292"/>
      <c r="EX115" s="292"/>
      <c r="FA115" s="292"/>
      <c r="FB115" s="292"/>
      <c r="FC115" s="292"/>
      <c r="FD115" s="292"/>
      <c r="FE115" s="292"/>
      <c r="FF115" s="292"/>
      <c r="FG115" s="292"/>
      <c r="FH115" s="292"/>
      <c r="FI115" s="292"/>
      <c r="FJ115" s="292"/>
      <c r="FK115" s="292"/>
      <c r="FL115" s="292"/>
      <c r="FM115" s="292"/>
      <c r="FN115" s="292"/>
      <c r="FO115" s="292"/>
      <c r="FP115" s="292"/>
      <c r="FQ115" s="292"/>
      <c r="FR115" s="292"/>
      <c r="FS115" s="292"/>
      <c r="FT115" s="292"/>
      <c r="FU115" s="292"/>
      <c r="FV115" s="292"/>
      <c r="FW115" s="292"/>
      <c r="FX115" s="292"/>
      <c r="FY115" s="292"/>
      <c r="FZ115" s="292"/>
      <c r="GA115" s="292"/>
      <c r="GB115" s="292"/>
      <c r="GC115" s="292"/>
      <c r="GD115" s="292"/>
      <c r="GE115" s="292"/>
      <c r="GF115" s="292"/>
      <c r="GG115" s="292"/>
      <c r="GH115" s="292"/>
      <c r="GI115" s="292"/>
      <c r="GJ115" s="292"/>
      <c r="GK115" s="292"/>
      <c r="GL115" s="292"/>
      <c r="GM115" s="292"/>
      <c r="GN115" s="292"/>
      <c r="GO115" s="292"/>
      <c r="GP115" s="292"/>
      <c r="GQ115" s="292"/>
      <c r="GR115" s="292"/>
      <c r="GS115" s="292"/>
      <c r="GT115" s="292"/>
      <c r="GU115" s="292"/>
      <c r="GV115" s="292"/>
      <c r="GW115" s="292"/>
      <c r="GX115" s="292"/>
      <c r="GY115" s="292"/>
      <c r="GZ115" s="292"/>
      <c r="HA115" s="292"/>
      <c r="HB115" s="292"/>
      <c r="HC115" s="292"/>
      <c r="HD115" s="292"/>
      <c r="HE115" s="292"/>
      <c r="HF115" s="292"/>
      <c r="HG115" s="292"/>
      <c r="HH115" s="292"/>
      <c r="HI115" s="292"/>
      <c r="HJ115" s="292"/>
      <c r="HK115" s="292"/>
      <c r="HL115" s="292"/>
      <c r="HM115" s="292"/>
      <c r="HN115" s="292"/>
      <c r="HO115" s="292"/>
      <c r="HP115" s="292"/>
      <c r="HQ115" s="292"/>
      <c r="HR115" s="292"/>
      <c r="HS115" s="292"/>
      <c r="HT115" s="292"/>
      <c r="HU115" s="292"/>
      <c r="HV115" s="292"/>
      <c r="HW115" s="292"/>
      <c r="HX115" s="292"/>
      <c r="HY115" s="292"/>
      <c r="HZ115" s="292"/>
      <c r="IA115" s="292"/>
      <c r="IB115" s="292"/>
      <c r="IC115" s="292"/>
      <c r="ID115" s="292"/>
      <c r="IE115" s="292"/>
      <c r="IF115" s="292"/>
      <c r="IG115" s="292"/>
      <c r="IH115" s="292"/>
      <c r="II115" s="292"/>
      <c r="IJ115" s="292"/>
      <c r="IK115" s="292"/>
      <c r="IL115" s="292"/>
      <c r="IM115" s="292"/>
      <c r="IN115" s="292"/>
      <c r="IO115" s="292"/>
      <c r="IP115" s="292"/>
      <c r="IQ115" s="292"/>
      <c r="IR115" s="292"/>
      <c r="IS115" s="292"/>
      <c r="IT115" s="292"/>
      <c r="IU115" s="292"/>
      <c r="IV115" s="292"/>
      <c r="IW115" s="292"/>
      <c r="IX115" s="292"/>
      <c r="IY115" s="292"/>
      <c r="IZ115" s="292"/>
      <c r="JA115" s="292"/>
      <c r="JB115" s="292"/>
      <c r="JC115" s="292"/>
      <c r="JD115" s="292"/>
      <c r="JE115" s="292"/>
      <c r="JF115" s="292"/>
      <c r="JG115" s="292"/>
      <c r="JH115" s="292"/>
      <c r="JI115" s="292"/>
      <c r="JJ115" s="292"/>
      <c r="JK115" s="292"/>
      <c r="JL115" s="292"/>
      <c r="JM115" s="292"/>
      <c r="JN115" s="292"/>
      <c r="JO115" s="292"/>
      <c r="JP115" s="292"/>
      <c r="JQ115" s="292"/>
      <c r="JR115" s="292"/>
      <c r="JS115" s="292"/>
      <c r="JT115" s="292"/>
      <c r="JU115" s="292"/>
      <c r="JV115" s="292"/>
      <c r="JW115" s="292"/>
      <c r="JX115" s="292"/>
      <c r="JY115" s="292"/>
      <c r="JZ115" s="292"/>
      <c r="KA115" s="292"/>
      <c r="KB115" s="292"/>
      <c r="KC115" s="292"/>
      <c r="KD115" s="292"/>
      <c r="KE115" s="292"/>
      <c r="KF115" s="292"/>
      <c r="KG115" s="292"/>
      <c r="KH115" s="292"/>
      <c r="KI115" s="292"/>
      <c r="KJ115" s="292"/>
      <c r="KK115" s="292"/>
      <c r="KL115" s="292"/>
      <c r="KM115" s="292"/>
      <c r="KN115" s="292"/>
      <c r="KO115" s="292"/>
      <c r="KP115" s="292"/>
      <c r="KQ115" s="292"/>
      <c r="KR115" s="292"/>
      <c r="KS115" s="292"/>
      <c r="KT115" s="292"/>
      <c r="KU115" s="292"/>
      <c r="KV115" s="292"/>
      <c r="KW115" s="292"/>
      <c r="KX115" s="292"/>
      <c r="KY115" s="292"/>
      <c r="KZ115" s="292"/>
      <c r="LA115" s="292"/>
      <c r="LB115" s="292"/>
      <c r="LC115" s="292"/>
      <c r="LD115" s="292"/>
      <c r="LE115" s="292"/>
      <c r="LF115" s="292"/>
      <c r="LG115" s="292"/>
      <c r="LH115" s="292"/>
      <c r="LI115" s="292"/>
      <c r="LJ115" s="292"/>
      <c r="LK115" s="292"/>
      <c r="LL115" s="292"/>
      <c r="LM115" s="292"/>
      <c r="LN115" s="292"/>
      <c r="LO115" s="292"/>
      <c r="LP115" s="292"/>
      <c r="LQ115" s="292"/>
      <c r="LR115" s="292"/>
      <c r="LS115" s="292"/>
      <c r="LT115" s="292"/>
      <c r="LU115" s="292"/>
      <c r="LV115" s="292"/>
      <c r="LW115" s="292"/>
      <c r="LX115" s="292"/>
      <c r="LY115" s="292"/>
      <c r="LZ115" s="292"/>
      <c r="MA115" s="292"/>
      <c r="MB115" s="292"/>
      <c r="MC115" s="292"/>
      <c r="MD115" s="292"/>
      <c r="ME115" s="292"/>
      <c r="MF115" s="292"/>
      <c r="MG115" s="292"/>
      <c r="MH115" s="292"/>
      <c r="MI115" s="292"/>
      <c r="MJ115" s="292"/>
      <c r="MK115" s="292"/>
      <c r="ML115" s="292"/>
      <c r="MM115" s="292"/>
      <c r="MN115" s="292"/>
      <c r="MO115" s="292"/>
      <c r="MP115" s="292"/>
      <c r="MQ115" s="292"/>
      <c r="MR115" s="292"/>
      <c r="MS115" s="292"/>
      <c r="MT115" s="292"/>
      <c r="MU115" s="292"/>
      <c r="MV115" s="292"/>
      <c r="MW115" s="292"/>
      <c r="MX115" s="292"/>
      <c r="MY115" s="292"/>
      <c r="MZ115" s="292"/>
      <c r="NA115" s="292"/>
      <c r="NB115" s="292"/>
      <c r="NC115" s="292"/>
      <c r="ND115" s="292"/>
      <c r="NE115" s="292"/>
      <c r="NF115" s="292"/>
      <c r="NG115" s="292"/>
      <c r="NH115" s="292"/>
      <c r="NI115" s="292"/>
      <c r="NJ115" s="292"/>
      <c r="NK115" s="292"/>
      <c r="NL115" s="292"/>
      <c r="NM115" s="292"/>
      <c r="NN115" s="292"/>
      <c r="NO115" s="292"/>
      <c r="NP115" s="292"/>
      <c r="NQ115" s="292"/>
      <c r="NR115" s="292"/>
      <c r="NS115" s="292"/>
      <c r="NT115" s="292"/>
      <c r="NU115" s="292"/>
      <c r="NV115" s="292"/>
      <c r="NW115" s="292"/>
      <c r="NX115" s="292"/>
      <c r="NY115" s="568"/>
      <c r="NZ115" s="568"/>
      <c r="OA115" s="575"/>
      <c r="OB115" s="575"/>
      <c r="OC115" s="578"/>
      <c r="OD115" s="578"/>
    </row>
    <row r="116" spans="1:394" s="20" customFormat="1" ht="12" customHeight="1">
      <c r="A116" s="626" t="s">
        <v>52</v>
      </c>
      <c r="B116" s="626"/>
      <c r="C116" s="626"/>
      <c r="D116" s="626"/>
      <c r="E116" s="626"/>
      <c r="F116" s="626"/>
      <c r="G116" s="626"/>
      <c r="H116" s="626"/>
      <c r="I116" s="626"/>
      <c r="J116" s="626"/>
      <c r="K116" s="626"/>
      <c r="L116" s="626"/>
      <c r="M116" s="626"/>
      <c r="N116" s="626"/>
      <c r="O116" s="626"/>
      <c r="P116" s="626"/>
      <c r="Q116" s="626"/>
      <c r="R116" s="626"/>
      <c r="S116" s="626"/>
      <c r="T116" s="626"/>
      <c r="U116" s="626"/>
      <c r="V116" s="626"/>
      <c r="W116" s="626"/>
      <c r="X116" s="626"/>
      <c r="Y116" s="626"/>
      <c r="Z116" s="626"/>
      <c r="AA116" s="626"/>
      <c r="AB116" s="626"/>
      <c r="AC116" s="626"/>
      <c r="AD116" s="626"/>
      <c r="AE116" s="626"/>
      <c r="AF116" s="626"/>
      <c r="AG116" s="626"/>
      <c r="AH116" s="626"/>
      <c r="AI116" s="626"/>
      <c r="AJ116" s="626"/>
      <c r="AK116" s="626"/>
      <c r="AL116" s="626"/>
      <c r="AM116" s="626"/>
      <c r="AN116" s="626"/>
      <c r="AO116" s="626"/>
      <c r="BC116" s="15"/>
      <c r="BD116" s="15"/>
      <c r="BE116" s="15"/>
      <c r="BF116" s="15"/>
      <c r="BG116" s="15"/>
      <c r="BH116" s="15"/>
      <c r="BI116" s="15"/>
      <c r="BJ116" s="15"/>
      <c r="BK116" s="15"/>
      <c r="BL116" s="15"/>
      <c r="BZ116" s="60"/>
      <c r="CB116" s="292"/>
      <c r="CF116" s="55" t="s">
        <v>118</v>
      </c>
      <c r="CG116" s="22" t="s">
        <v>117</v>
      </c>
      <c r="CH116" s="570">
        <v>0.85</v>
      </c>
      <c r="CI116" s="570">
        <v>0.88</v>
      </c>
      <c r="CJ116" s="570">
        <v>0.86</v>
      </c>
      <c r="CK116" s="570">
        <v>0.86</v>
      </c>
      <c r="CL116" s="570">
        <v>0.86</v>
      </c>
      <c r="CM116" s="570">
        <v>0.86</v>
      </c>
      <c r="CZ116" s="28"/>
      <c r="EG116" s="292"/>
      <c r="EH116" s="292"/>
      <c r="EI116" s="292"/>
      <c r="EJ116" s="292"/>
      <c r="EK116" s="292"/>
      <c r="EL116" s="292"/>
      <c r="EM116" s="292"/>
      <c r="EN116" s="292"/>
      <c r="EO116" s="292"/>
      <c r="EP116" s="292"/>
      <c r="EQ116" s="292"/>
      <c r="ER116" s="292"/>
      <c r="ES116" s="292"/>
      <c r="ET116" s="292"/>
      <c r="EU116" s="292"/>
      <c r="EV116" s="292"/>
      <c r="EW116" s="292"/>
      <c r="EX116" s="292"/>
      <c r="FA116" s="292"/>
      <c r="FB116" s="292"/>
      <c r="FC116" s="292"/>
      <c r="FD116" s="292"/>
      <c r="FE116" s="292"/>
      <c r="FF116" s="292"/>
      <c r="FG116" s="292"/>
      <c r="FH116" s="292"/>
      <c r="FI116" s="292"/>
      <c r="FJ116" s="292"/>
      <c r="FK116" s="292"/>
      <c r="FL116" s="292"/>
      <c r="FM116" s="292"/>
      <c r="FN116" s="292"/>
      <c r="FO116" s="292"/>
      <c r="FP116" s="292"/>
      <c r="FQ116" s="292"/>
      <c r="FR116" s="292"/>
      <c r="FS116" s="292"/>
      <c r="FT116" s="292"/>
      <c r="FU116" s="292"/>
      <c r="FV116" s="292"/>
      <c r="FW116" s="292"/>
      <c r="FX116" s="292"/>
      <c r="FY116" s="292"/>
      <c r="FZ116" s="292"/>
      <c r="GA116" s="292"/>
      <c r="GB116" s="292"/>
      <c r="GC116" s="292"/>
      <c r="GD116" s="292"/>
      <c r="GE116" s="292"/>
      <c r="GF116" s="292"/>
      <c r="GG116" s="292"/>
      <c r="GH116" s="292"/>
      <c r="GI116" s="292"/>
      <c r="GJ116" s="292"/>
      <c r="GK116" s="292"/>
      <c r="GL116" s="292"/>
      <c r="GM116" s="292"/>
      <c r="GN116" s="292"/>
      <c r="GO116" s="292"/>
      <c r="GP116" s="292"/>
      <c r="GQ116" s="292"/>
      <c r="GR116" s="292"/>
      <c r="GS116" s="292"/>
      <c r="GT116" s="292"/>
      <c r="GU116" s="292"/>
      <c r="GV116" s="292"/>
      <c r="GW116" s="292"/>
      <c r="GX116" s="292"/>
      <c r="GY116" s="292"/>
      <c r="GZ116" s="292"/>
      <c r="HA116" s="292"/>
      <c r="HB116" s="292"/>
      <c r="HC116" s="292"/>
      <c r="HD116" s="292"/>
      <c r="HE116" s="292"/>
      <c r="HF116" s="292"/>
      <c r="HG116" s="292"/>
      <c r="HH116" s="292"/>
      <c r="HI116" s="292"/>
      <c r="HJ116" s="292"/>
      <c r="HK116" s="292"/>
      <c r="HL116" s="292"/>
      <c r="HM116" s="292"/>
      <c r="HN116" s="292"/>
      <c r="HO116" s="292"/>
      <c r="HP116" s="292"/>
      <c r="HQ116" s="292"/>
      <c r="HR116" s="292"/>
      <c r="HS116" s="292"/>
      <c r="HT116" s="292"/>
      <c r="HU116" s="292"/>
      <c r="HV116" s="292"/>
      <c r="HW116" s="292"/>
      <c r="HX116" s="292"/>
      <c r="HY116" s="292"/>
      <c r="HZ116" s="292"/>
      <c r="IA116" s="292"/>
      <c r="IB116" s="292"/>
      <c r="IC116" s="292"/>
      <c r="ID116" s="292"/>
      <c r="IE116" s="292"/>
      <c r="IF116" s="292"/>
      <c r="IG116" s="292"/>
      <c r="IH116" s="292"/>
      <c r="II116" s="292"/>
      <c r="IJ116" s="292"/>
      <c r="IK116" s="292"/>
      <c r="IL116" s="292"/>
      <c r="IM116" s="292"/>
      <c r="IN116" s="292"/>
      <c r="IO116" s="292"/>
      <c r="IP116" s="292"/>
      <c r="IQ116" s="292"/>
      <c r="IR116" s="292"/>
      <c r="IS116" s="292"/>
      <c r="IT116" s="292"/>
      <c r="IU116" s="292"/>
      <c r="IV116" s="292"/>
      <c r="IW116" s="292"/>
      <c r="IX116" s="292"/>
      <c r="IY116" s="292"/>
      <c r="IZ116" s="292"/>
      <c r="JA116" s="292"/>
      <c r="JB116" s="292"/>
      <c r="JC116" s="292"/>
      <c r="JD116" s="292"/>
      <c r="JE116" s="292"/>
      <c r="JF116" s="292"/>
      <c r="JG116" s="292"/>
      <c r="JH116" s="292"/>
      <c r="JI116" s="292"/>
      <c r="JJ116" s="292"/>
      <c r="JK116" s="292"/>
      <c r="JL116" s="292"/>
      <c r="JM116" s="292"/>
      <c r="JN116" s="292"/>
      <c r="JO116" s="292"/>
      <c r="JP116" s="292"/>
      <c r="JQ116" s="292"/>
      <c r="JR116" s="292"/>
      <c r="JS116" s="292"/>
      <c r="JT116" s="292"/>
      <c r="JU116" s="292"/>
      <c r="JV116" s="292"/>
      <c r="JW116" s="292"/>
      <c r="JX116" s="292"/>
      <c r="JY116" s="292"/>
      <c r="JZ116" s="292"/>
      <c r="KA116" s="292"/>
      <c r="KB116" s="292"/>
      <c r="KC116" s="292"/>
      <c r="KD116" s="292"/>
      <c r="KE116" s="292"/>
      <c r="KF116" s="292"/>
      <c r="KG116" s="292"/>
      <c r="KH116" s="292"/>
      <c r="KI116" s="292"/>
      <c r="KJ116" s="292"/>
      <c r="KK116" s="292"/>
      <c r="KL116" s="292"/>
      <c r="KM116" s="292"/>
      <c r="KN116" s="292"/>
      <c r="KO116" s="292"/>
      <c r="KP116" s="292"/>
      <c r="KQ116" s="292"/>
      <c r="KR116" s="292"/>
      <c r="KS116" s="292"/>
      <c r="KT116" s="292"/>
      <c r="KU116" s="292"/>
      <c r="KV116" s="292"/>
      <c r="KW116" s="292"/>
      <c r="KX116" s="292"/>
      <c r="KY116" s="292"/>
      <c r="KZ116" s="292"/>
      <c r="LA116" s="292"/>
      <c r="LB116" s="292"/>
      <c r="LC116" s="292"/>
      <c r="LD116" s="292"/>
      <c r="LE116" s="292"/>
      <c r="LF116" s="292"/>
      <c r="LG116" s="292"/>
      <c r="LH116" s="292"/>
      <c r="LI116" s="292"/>
      <c r="LJ116" s="292"/>
      <c r="LK116" s="292"/>
      <c r="LL116" s="292"/>
      <c r="LM116" s="292"/>
      <c r="LN116" s="292"/>
      <c r="LO116" s="292"/>
      <c r="LP116" s="292"/>
      <c r="LQ116" s="292"/>
      <c r="LR116" s="292"/>
      <c r="LS116" s="292"/>
      <c r="LT116" s="292"/>
      <c r="LU116" s="292"/>
      <c r="LV116" s="292"/>
      <c r="LW116" s="292"/>
      <c r="LX116" s="292"/>
      <c r="LY116" s="292"/>
      <c r="LZ116" s="292"/>
      <c r="MA116" s="292"/>
      <c r="MB116" s="292"/>
      <c r="MC116" s="292"/>
      <c r="MD116" s="292"/>
      <c r="ME116" s="292"/>
      <c r="MF116" s="292"/>
      <c r="MG116" s="292"/>
      <c r="MH116" s="292"/>
      <c r="MI116" s="292"/>
      <c r="MJ116" s="292"/>
      <c r="MK116" s="292"/>
      <c r="ML116" s="292"/>
      <c r="MM116" s="292"/>
      <c r="MN116" s="292"/>
      <c r="MO116" s="292"/>
      <c r="MP116" s="292"/>
      <c r="MQ116" s="292"/>
      <c r="MR116" s="292"/>
      <c r="MS116" s="292"/>
      <c r="MT116" s="292"/>
      <c r="MU116" s="292"/>
      <c r="MV116" s="292"/>
      <c r="MW116" s="292"/>
      <c r="MX116" s="292"/>
      <c r="MY116" s="292"/>
      <c r="MZ116" s="292"/>
      <c r="NA116" s="292"/>
      <c r="NB116" s="292"/>
      <c r="NC116" s="292"/>
      <c r="ND116" s="292"/>
      <c r="NE116" s="292"/>
      <c r="NF116" s="292"/>
      <c r="NG116" s="292"/>
      <c r="NH116" s="292"/>
      <c r="NI116" s="292"/>
      <c r="NJ116" s="292"/>
      <c r="NK116" s="292"/>
      <c r="NL116" s="292"/>
      <c r="NM116" s="292"/>
      <c r="NN116" s="292"/>
      <c r="NO116" s="292"/>
      <c r="NP116" s="292"/>
      <c r="NQ116" s="292"/>
      <c r="NR116" s="292"/>
      <c r="NS116" s="292"/>
      <c r="NT116" s="292"/>
      <c r="NU116" s="292"/>
      <c r="NV116" s="292"/>
      <c r="NW116" s="292"/>
      <c r="NX116" s="292"/>
      <c r="NY116" s="568"/>
      <c r="NZ116" s="568"/>
      <c r="OA116" s="575"/>
      <c r="OB116" s="575"/>
      <c r="OC116" s="578"/>
      <c r="OD116" s="578"/>
    </row>
    <row r="117" spans="1:394" s="20" customFormat="1" ht="12" customHeight="1">
      <c r="D117" s="93"/>
      <c r="E117" s="176"/>
      <c r="F117" s="176"/>
      <c r="G117" s="176"/>
      <c r="H117" s="176"/>
      <c r="I117" s="176"/>
      <c r="J117" s="176"/>
      <c r="K117" s="17"/>
      <c r="L117" s="176"/>
      <c r="M117" s="176"/>
      <c r="N117" s="29"/>
      <c r="O117" s="29"/>
      <c r="P117" s="29"/>
      <c r="Q117" s="29"/>
      <c r="R117" s="29"/>
      <c r="S117" s="29"/>
      <c r="T117" s="29"/>
      <c r="U117" s="29"/>
      <c r="V117" s="93"/>
      <c r="W117" s="176"/>
      <c r="X117" s="176"/>
      <c r="Y117" s="176"/>
      <c r="Z117" s="176"/>
      <c r="AA117" s="176"/>
      <c r="AB117" s="176"/>
      <c r="AC117" s="176"/>
      <c r="AD117" s="176"/>
      <c r="AE117" s="176"/>
      <c r="AF117" s="176"/>
      <c r="AG117" s="176"/>
      <c r="AH117" s="176"/>
      <c r="AI117" s="176"/>
      <c r="AJ117" s="17"/>
      <c r="AK117" s="17"/>
      <c r="AL117" s="17"/>
      <c r="AM117" s="17"/>
      <c r="AN117" s="17"/>
      <c r="AO117" s="17"/>
      <c r="BC117" s="15"/>
      <c r="BD117" s="15"/>
      <c r="BE117" s="15"/>
      <c r="BF117" s="15"/>
      <c r="BG117" s="15"/>
      <c r="BH117" s="15"/>
      <c r="BI117" s="15"/>
      <c r="BJ117" s="15"/>
      <c r="BK117" s="15"/>
      <c r="BL117" s="15"/>
      <c r="BZ117" s="60"/>
      <c r="CB117" s="292"/>
      <c r="CF117" s="55"/>
      <c r="CG117" s="122" t="s">
        <v>159</v>
      </c>
      <c r="CH117" s="573">
        <f t="shared" ref="CH117" si="19">1-CH116</f>
        <v>0.15000000000000002</v>
      </c>
      <c r="CI117" s="573">
        <v>0.12</v>
      </c>
      <c r="CJ117" s="573">
        <v>0.14000000000000001</v>
      </c>
      <c r="CK117" s="573">
        <f t="shared" ref="CK117" si="20">1-CK116</f>
        <v>0.14000000000000001</v>
      </c>
      <c r="CL117" s="573">
        <v>0.14000000000000001</v>
      </c>
      <c r="CM117" s="573">
        <v>0.14000000000000001</v>
      </c>
      <c r="EG117" s="292"/>
      <c r="EH117" s="292"/>
      <c r="EI117" s="292"/>
      <c r="EJ117" s="292"/>
      <c r="EK117" s="292"/>
      <c r="EL117" s="292"/>
      <c r="EM117" s="292"/>
      <c r="EN117" s="292"/>
      <c r="EO117" s="292"/>
      <c r="EP117" s="292"/>
      <c r="EQ117" s="292"/>
      <c r="ER117" s="292"/>
      <c r="ES117" s="292"/>
      <c r="ET117" s="292"/>
      <c r="EU117" s="292"/>
      <c r="EV117" s="292"/>
      <c r="EW117" s="292"/>
      <c r="EX117" s="292"/>
      <c r="FA117" s="292"/>
      <c r="FB117" s="292"/>
      <c r="FC117" s="292"/>
      <c r="FD117" s="292"/>
      <c r="FE117" s="292"/>
      <c r="FF117" s="292"/>
      <c r="FG117" s="292"/>
      <c r="FH117" s="292"/>
      <c r="FI117" s="292"/>
      <c r="FJ117" s="292"/>
      <c r="FK117" s="292"/>
      <c r="FL117" s="292"/>
      <c r="FM117" s="292"/>
      <c r="FN117" s="292"/>
      <c r="FO117" s="292"/>
      <c r="FP117" s="292"/>
      <c r="FQ117" s="292"/>
      <c r="FR117" s="292"/>
      <c r="FS117" s="292"/>
      <c r="FT117" s="292"/>
      <c r="FU117" s="292"/>
      <c r="FV117" s="292"/>
      <c r="FW117" s="292"/>
      <c r="FX117" s="292"/>
      <c r="FY117" s="292"/>
      <c r="FZ117" s="292"/>
      <c r="GA117" s="292"/>
      <c r="GB117" s="292"/>
      <c r="GC117" s="292"/>
      <c r="GD117" s="292"/>
      <c r="GE117" s="292"/>
      <c r="GF117" s="292"/>
      <c r="GG117" s="292"/>
      <c r="GH117" s="292"/>
      <c r="GI117" s="292"/>
      <c r="GJ117" s="292"/>
      <c r="GK117" s="292"/>
      <c r="GL117" s="292"/>
      <c r="GM117" s="292"/>
      <c r="GN117" s="292"/>
      <c r="GO117" s="292"/>
      <c r="GP117" s="292"/>
      <c r="GQ117" s="292"/>
      <c r="GR117" s="292"/>
      <c r="GS117" s="292"/>
      <c r="GT117" s="292"/>
      <c r="GU117" s="292"/>
      <c r="GV117" s="292"/>
      <c r="GW117" s="292"/>
      <c r="GX117" s="292"/>
      <c r="GY117" s="292"/>
      <c r="GZ117" s="292"/>
      <c r="HA117" s="292"/>
      <c r="HB117" s="292"/>
      <c r="HC117" s="292"/>
      <c r="HD117" s="292"/>
      <c r="HE117" s="292"/>
      <c r="HF117" s="292"/>
      <c r="HG117" s="292"/>
      <c r="HH117" s="292"/>
      <c r="HI117" s="292"/>
      <c r="HJ117" s="292"/>
      <c r="HK117" s="292"/>
      <c r="HL117" s="292"/>
      <c r="HM117" s="292"/>
      <c r="HN117" s="292"/>
      <c r="HO117" s="292"/>
      <c r="HP117" s="292"/>
      <c r="HQ117" s="292"/>
      <c r="HR117" s="292"/>
      <c r="HS117" s="292"/>
      <c r="HT117" s="292"/>
      <c r="HU117" s="292"/>
      <c r="HV117" s="292"/>
      <c r="HW117" s="292"/>
      <c r="HX117" s="292"/>
      <c r="HY117" s="292"/>
      <c r="HZ117" s="292"/>
      <c r="IA117" s="292"/>
      <c r="IB117" s="292"/>
      <c r="IC117" s="292"/>
      <c r="ID117" s="292"/>
      <c r="IE117" s="292"/>
      <c r="IF117" s="292"/>
      <c r="IG117" s="292"/>
      <c r="IH117" s="292"/>
      <c r="II117" s="292"/>
      <c r="IJ117" s="292"/>
      <c r="IK117" s="292"/>
      <c r="IL117" s="292"/>
      <c r="IM117" s="292"/>
      <c r="IN117" s="292"/>
      <c r="IO117" s="292"/>
      <c r="IP117" s="292"/>
      <c r="IQ117" s="292"/>
      <c r="IR117" s="292"/>
      <c r="IS117" s="292"/>
      <c r="IT117" s="292"/>
      <c r="IU117" s="292"/>
      <c r="IV117" s="292"/>
      <c r="IW117" s="292"/>
      <c r="IX117" s="292"/>
      <c r="IY117" s="292"/>
      <c r="IZ117" s="292"/>
      <c r="JA117" s="292"/>
      <c r="JB117" s="292"/>
      <c r="JC117" s="292"/>
      <c r="JD117" s="292"/>
      <c r="JE117" s="292"/>
      <c r="JF117" s="292"/>
      <c r="JG117" s="292"/>
      <c r="JH117" s="292"/>
      <c r="JI117" s="292"/>
      <c r="JJ117" s="292"/>
      <c r="JK117" s="292"/>
      <c r="JL117" s="292"/>
      <c r="JM117" s="292"/>
      <c r="JN117" s="292"/>
      <c r="JO117" s="292"/>
      <c r="JP117" s="292"/>
      <c r="JQ117" s="292"/>
      <c r="JR117" s="292"/>
      <c r="JS117" s="292"/>
      <c r="JT117" s="292"/>
      <c r="JU117" s="292"/>
      <c r="JV117" s="292"/>
      <c r="JW117" s="292"/>
      <c r="JX117" s="292"/>
      <c r="JY117" s="292"/>
      <c r="JZ117" s="292"/>
      <c r="KA117" s="292"/>
      <c r="KB117" s="292"/>
      <c r="KC117" s="292"/>
      <c r="KD117" s="292"/>
      <c r="KE117" s="292"/>
      <c r="KF117" s="292"/>
      <c r="KG117" s="292"/>
      <c r="KH117" s="292"/>
      <c r="KI117" s="292"/>
      <c r="KJ117" s="292"/>
      <c r="KK117" s="292"/>
      <c r="KL117" s="292"/>
      <c r="KM117" s="292"/>
      <c r="KN117" s="292"/>
      <c r="KO117" s="292"/>
      <c r="KP117" s="292"/>
      <c r="KQ117" s="292"/>
      <c r="KR117" s="292"/>
      <c r="KS117" s="292"/>
      <c r="KT117" s="292"/>
      <c r="KU117" s="292"/>
      <c r="KV117" s="292"/>
      <c r="KW117" s="292"/>
      <c r="KX117" s="292"/>
      <c r="KY117" s="292"/>
      <c r="KZ117" s="292"/>
      <c r="LA117" s="292"/>
      <c r="LB117" s="292"/>
      <c r="LC117" s="292"/>
      <c r="LD117" s="292"/>
      <c r="LE117" s="292"/>
      <c r="LF117" s="292"/>
      <c r="LG117" s="292"/>
      <c r="LH117" s="292"/>
      <c r="LI117" s="292"/>
      <c r="LJ117" s="292"/>
      <c r="LK117" s="292"/>
      <c r="LL117" s="292"/>
      <c r="LM117" s="292"/>
      <c r="LN117" s="292"/>
      <c r="LO117" s="292"/>
      <c r="LP117" s="292"/>
      <c r="LQ117" s="292"/>
      <c r="LR117" s="292"/>
      <c r="LS117" s="292"/>
      <c r="LT117" s="292"/>
      <c r="LU117" s="292"/>
      <c r="LV117" s="292"/>
      <c r="LW117" s="292"/>
      <c r="LX117" s="292"/>
      <c r="LY117" s="292"/>
      <c r="LZ117" s="292"/>
      <c r="MA117" s="292"/>
      <c r="MB117" s="292"/>
      <c r="MC117" s="292"/>
      <c r="MD117" s="292"/>
      <c r="ME117" s="292"/>
      <c r="MF117" s="292"/>
      <c r="MG117" s="292"/>
      <c r="MH117" s="292"/>
      <c r="MI117" s="292"/>
      <c r="MJ117" s="292"/>
      <c r="MK117" s="292"/>
      <c r="ML117" s="292"/>
      <c r="MM117" s="292"/>
      <c r="MN117" s="292"/>
      <c r="MO117" s="292"/>
      <c r="MP117" s="292"/>
      <c r="MQ117" s="292"/>
      <c r="MR117" s="292"/>
      <c r="MS117" s="292"/>
      <c r="MT117" s="292"/>
      <c r="MU117" s="292"/>
      <c r="MV117" s="292"/>
      <c r="MW117" s="292"/>
      <c r="MX117" s="292"/>
      <c r="MY117" s="292"/>
      <c r="MZ117" s="292"/>
      <c r="NA117" s="292"/>
      <c r="NB117" s="292"/>
      <c r="NC117" s="292"/>
      <c r="ND117" s="292"/>
      <c r="NE117" s="292"/>
      <c r="NF117" s="292"/>
      <c r="NG117" s="292"/>
      <c r="NH117" s="292"/>
      <c r="NI117" s="292"/>
      <c r="NJ117" s="292"/>
      <c r="NK117" s="292"/>
      <c r="NL117" s="292"/>
      <c r="NM117" s="292"/>
      <c r="NN117" s="292"/>
      <c r="NO117" s="292"/>
      <c r="NP117" s="292"/>
      <c r="NQ117" s="292"/>
      <c r="NR117" s="292"/>
      <c r="NS117" s="292"/>
      <c r="NT117" s="292"/>
      <c r="NU117" s="292"/>
      <c r="NV117" s="292"/>
      <c r="NW117" s="292"/>
      <c r="NX117" s="292"/>
      <c r="NY117" s="568"/>
      <c r="NZ117" s="568"/>
      <c r="OA117" s="575"/>
      <c r="OB117" s="575"/>
      <c r="OC117" s="578"/>
      <c r="OD117" s="578"/>
    </row>
    <row r="118" spans="1:394" s="20" customFormat="1" ht="12" customHeight="1">
      <c r="A118" s="120"/>
      <c r="D118" s="12"/>
      <c r="E118" s="12"/>
      <c r="F118" s="12"/>
      <c r="G118" s="12"/>
      <c r="H118" s="12"/>
      <c r="I118" s="12"/>
      <c r="J118" s="12"/>
      <c r="K118" s="12"/>
      <c r="L118" s="12"/>
      <c r="M118" s="29"/>
      <c r="N118" s="12"/>
      <c r="O118" s="12"/>
      <c r="P118" s="12"/>
      <c r="Q118" s="12"/>
      <c r="R118" s="12"/>
      <c r="S118" s="12"/>
      <c r="T118" s="12"/>
      <c r="U118" s="29"/>
      <c r="V118" s="17"/>
      <c r="W118" s="17"/>
      <c r="X118" s="17"/>
      <c r="Y118" s="17"/>
      <c r="Z118" s="17"/>
      <c r="AA118" s="17"/>
      <c r="AB118" s="17"/>
      <c r="AC118" s="17"/>
      <c r="AD118" s="17"/>
      <c r="AE118" s="17"/>
      <c r="AF118" s="17"/>
      <c r="AG118" s="17"/>
      <c r="AH118" s="17"/>
      <c r="AI118" s="29"/>
      <c r="AJ118" s="17"/>
      <c r="AK118" s="17"/>
      <c r="AL118" s="17"/>
      <c r="AM118" s="17"/>
      <c r="AN118" s="17"/>
      <c r="AO118" s="17"/>
      <c r="BC118" s="15"/>
      <c r="BD118" s="15"/>
      <c r="BE118" s="15"/>
      <c r="BF118" s="15"/>
      <c r="BG118" s="15"/>
      <c r="BH118" s="15"/>
      <c r="BI118" s="15"/>
      <c r="BJ118" s="15"/>
      <c r="BK118" s="15"/>
      <c r="BL118" s="15"/>
      <c r="BZ118" s="60"/>
      <c r="CB118" s="292"/>
      <c r="CF118" s="58" t="s">
        <v>56</v>
      </c>
      <c r="CG118" s="56" t="s">
        <v>11</v>
      </c>
      <c r="CH118" s="570">
        <f>1-CH119-CH120</f>
        <v>0.78</v>
      </c>
      <c r="CI118" s="570">
        <f t="shared" ref="CI118:CK118" si="21">1-CI119-CI120</f>
        <v>0.83000000000000007</v>
      </c>
      <c r="CJ118" s="570">
        <f t="shared" si="21"/>
        <v>0.77</v>
      </c>
      <c r="CK118" s="570">
        <f t="shared" si="21"/>
        <v>0.79</v>
      </c>
      <c r="CL118" s="570">
        <f t="shared" ref="CL118" si="22">1-CL119-CL120</f>
        <v>0.74</v>
      </c>
      <c r="CM118" s="570">
        <f>1-CM119-CM120</f>
        <v>0.69000000000000006</v>
      </c>
      <c r="EG118" s="292"/>
      <c r="EH118" s="292"/>
      <c r="EI118" s="292"/>
      <c r="EJ118" s="292"/>
      <c r="EK118" s="292"/>
      <c r="EL118" s="292"/>
      <c r="EM118" s="292"/>
      <c r="EN118" s="292"/>
      <c r="EO118" s="292"/>
      <c r="EP118" s="292"/>
      <c r="EQ118" s="292"/>
      <c r="ER118" s="292"/>
      <c r="ES118" s="292"/>
      <c r="ET118" s="292"/>
      <c r="EU118" s="292"/>
      <c r="EV118" s="292"/>
      <c r="EW118" s="292"/>
      <c r="EX118" s="292"/>
      <c r="FA118" s="292"/>
      <c r="FB118" s="292"/>
      <c r="FC118" s="292"/>
      <c r="FD118" s="292"/>
      <c r="FE118" s="292"/>
      <c r="FF118" s="292"/>
      <c r="FG118" s="292"/>
      <c r="FH118" s="292"/>
      <c r="FI118" s="292"/>
      <c r="FJ118" s="292"/>
      <c r="FK118" s="292"/>
      <c r="FL118" s="292"/>
      <c r="FM118" s="292"/>
      <c r="FN118" s="292"/>
      <c r="FO118" s="292"/>
      <c r="FP118" s="292"/>
      <c r="FQ118" s="292"/>
      <c r="FR118" s="292"/>
      <c r="FS118" s="292"/>
      <c r="FT118" s="292"/>
      <c r="FU118" s="292"/>
      <c r="FV118" s="292"/>
      <c r="FW118" s="292"/>
      <c r="FX118" s="292"/>
      <c r="FY118" s="292"/>
      <c r="FZ118" s="292"/>
      <c r="GA118" s="292"/>
      <c r="GB118" s="292"/>
      <c r="GC118" s="292"/>
      <c r="GD118" s="292"/>
      <c r="GE118" s="292"/>
      <c r="GF118" s="292"/>
      <c r="GG118" s="292"/>
      <c r="GH118" s="292"/>
      <c r="GI118" s="292"/>
      <c r="GJ118" s="292"/>
      <c r="GK118" s="292"/>
      <c r="GL118" s="292"/>
      <c r="GM118" s="292"/>
      <c r="GN118" s="292"/>
      <c r="GO118" s="292"/>
      <c r="GP118" s="292"/>
      <c r="GQ118" s="292"/>
      <c r="GR118" s="292"/>
      <c r="GS118" s="292"/>
      <c r="GT118" s="292"/>
      <c r="GU118" s="292"/>
      <c r="GV118" s="292"/>
      <c r="GW118" s="292"/>
      <c r="GX118" s="292"/>
      <c r="GY118" s="292"/>
      <c r="GZ118" s="292"/>
      <c r="HA118" s="292"/>
      <c r="HB118" s="292"/>
      <c r="HC118" s="292"/>
      <c r="HD118" s="292"/>
      <c r="HE118" s="292"/>
      <c r="HF118" s="292"/>
      <c r="HG118" s="292"/>
      <c r="HH118" s="292"/>
      <c r="HI118" s="292"/>
      <c r="HJ118" s="292"/>
      <c r="HK118" s="292"/>
      <c r="HL118" s="292"/>
      <c r="HM118" s="292"/>
      <c r="HN118" s="292"/>
      <c r="HO118" s="292"/>
      <c r="HP118" s="292"/>
      <c r="HQ118" s="292"/>
      <c r="HR118" s="292"/>
      <c r="HS118" s="292"/>
      <c r="HT118" s="292"/>
      <c r="HU118" s="292"/>
      <c r="HV118" s="292"/>
      <c r="HW118" s="292"/>
      <c r="HX118" s="292"/>
      <c r="HY118" s="292"/>
      <c r="HZ118" s="292"/>
      <c r="IA118" s="292"/>
      <c r="IB118" s="292"/>
      <c r="IC118" s="292"/>
      <c r="ID118" s="292"/>
      <c r="IE118" s="292"/>
      <c r="IF118" s="292"/>
      <c r="IG118" s="292"/>
      <c r="IH118" s="292"/>
      <c r="II118" s="292"/>
      <c r="IJ118" s="292"/>
      <c r="IK118" s="292"/>
      <c r="IL118" s="292"/>
      <c r="IM118" s="292"/>
      <c r="IN118" s="292"/>
      <c r="IO118" s="292"/>
      <c r="IP118" s="292"/>
      <c r="IQ118" s="292"/>
      <c r="IR118" s="292"/>
      <c r="IS118" s="292"/>
      <c r="IT118" s="292"/>
      <c r="IU118" s="292"/>
      <c r="IV118" s="292"/>
      <c r="IW118" s="292"/>
      <c r="IX118" s="292"/>
      <c r="IY118" s="292"/>
      <c r="IZ118" s="292"/>
      <c r="JA118" s="292"/>
      <c r="JB118" s="292"/>
      <c r="JC118" s="292"/>
      <c r="JD118" s="292"/>
      <c r="JE118" s="292"/>
      <c r="JF118" s="292"/>
      <c r="JG118" s="292"/>
      <c r="JH118" s="292"/>
      <c r="JI118" s="292"/>
      <c r="JJ118" s="292"/>
      <c r="JK118" s="292"/>
      <c r="JL118" s="292"/>
      <c r="JM118" s="292"/>
      <c r="JN118" s="292"/>
      <c r="JO118" s="292"/>
      <c r="JP118" s="292"/>
      <c r="JQ118" s="292"/>
      <c r="JR118" s="292"/>
      <c r="JS118" s="292"/>
      <c r="JT118" s="292"/>
      <c r="JU118" s="292"/>
      <c r="JV118" s="292"/>
      <c r="JW118" s="292"/>
      <c r="JX118" s="292"/>
      <c r="JY118" s="292"/>
      <c r="JZ118" s="292"/>
      <c r="KA118" s="292"/>
      <c r="KB118" s="292"/>
      <c r="KC118" s="292"/>
      <c r="KD118" s="292"/>
      <c r="KE118" s="292"/>
      <c r="KF118" s="292"/>
      <c r="KG118" s="292"/>
      <c r="KH118" s="292"/>
      <c r="KI118" s="292"/>
      <c r="KJ118" s="292"/>
      <c r="KK118" s="292"/>
      <c r="KL118" s="292"/>
      <c r="KM118" s="292"/>
      <c r="KN118" s="292"/>
      <c r="KO118" s="292"/>
      <c r="KP118" s="292"/>
      <c r="KQ118" s="292"/>
      <c r="KR118" s="292"/>
      <c r="KS118" s="292"/>
      <c r="KT118" s="292"/>
      <c r="KU118" s="292"/>
      <c r="KV118" s="292"/>
      <c r="KW118" s="292"/>
      <c r="KX118" s="292"/>
      <c r="KY118" s="292"/>
      <c r="KZ118" s="292"/>
      <c r="LA118" s="292"/>
      <c r="LB118" s="292"/>
      <c r="LC118" s="292"/>
      <c r="LD118" s="292"/>
      <c r="LE118" s="292"/>
      <c r="LF118" s="292"/>
      <c r="LG118" s="292"/>
      <c r="LH118" s="292"/>
      <c r="LI118" s="292"/>
      <c r="LJ118" s="292"/>
      <c r="LK118" s="292"/>
      <c r="LL118" s="292"/>
      <c r="LM118" s="292"/>
      <c r="LN118" s="292"/>
      <c r="LO118" s="292"/>
      <c r="LP118" s="292"/>
      <c r="LQ118" s="292"/>
      <c r="LR118" s="292"/>
      <c r="LS118" s="292"/>
      <c r="LT118" s="292"/>
      <c r="LU118" s="292"/>
      <c r="LV118" s="292"/>
      <c r="LW118" s="292"/>
      <c r="LX118" s="292"/>
      <c r="LY118" s="292"/>
      <c r="LZ118" s="292"/>
      <c r="MA118" s="292"/>
      <c r="MB118" s="292"/>
      <c r="MC118" s="292"/>
      <c r="MD118" s="292"/>
      <c r="ME118" s="292"/>
      <c r="MF118" s="292"/>
      <c r="MG118" s="292"/>
      <c r="MH118" s="292"/>
      <c r="MI118" s="292"/>
      <c r="MJ118" s="292"/>
      <c r="MK118" s="292"/>
      <c r="ML118" s="292"/>
      <c r="MM118" s="292"/>
      <c r="MN118" s="292"/>
      <c r="MO118" s="292"/>
      <c r="MP118" s="292"/>
      <c r="MQ118" s="292"/>
      <c r="MR118" s="292"/>
      <c r="MS118" s="292"/>
      <c r="MT118" s="292"/>
      <c r="MU118" s="292"/>
      <c r="MV118" s="292"/>
      <c r="MW118" s="292"/>
      <c r="MX118" s="292"/>
      <c r="MY118" s="292"/>
      <c r="MZ118" s="292"/>
      <c r="NA118" s="292"/>
      <c r="NB118" s="292"/>
      <c r="NC118" s="292"/>
      <c r="ND118" s="292"/>
      <c r="NE118" s="292"/>
      <c r="NF118" s="292"/>
      <c r="NG118" s="292"/>
      <c r="NH118" s="292"/>
      <c r="NI118" s="292"/>
      <c r="NJ118" s="292"/>
      <c r="NK118" s="292"/>
      <c r="NL118" s="292"/>
      <c r="NM118" s="292"/>
      <c r="NN118" s="292"/>
      <c r="NO118" s="292"/>
      <c r="NP118" s="292"/>
      <c r="NQ118" s="292"/>
      <c r="NR118" s="292"/>
      <c r="NS118" s="292"/>
      <c r="NT118" s="292"/>
      <c r="NU118" s="292"/>
      <c r="NV118" s="292"/>
      <c r="NW118" s="292"/>
      <c r="NX118" s="292"/>
      <c r="NY118" s="568"/>
      <c r="NZ118" s="568"/>
      <c r="OA118" s="575"/>
      <c r="OB118" s="575"/>
      <c r="OC118" s="578"/>
      <c r="OD118" s="578"/>
    </row>
    <row r="119" spans="1:394" s="20" customFormat="1" ht="12" customHeight="1">
      <c r="D119" s="12"/>
      <c r="E119" s="12"/>
      <c r="F119" s="12"/>
      <c r="G119" s="12"/>
      <c r="H119" s="12"/>
      <c r="I119" s="12"/>
      <c r="J119" s="12"/>
      <c r="K119" s="12"/>
      <c r="L119" s="12"/>
      <c r="M119" s="12"/>
      <c r="N119" s="12"/>
      <c r="O119" s="12"/>
      <c r="P119" s="12"/>
      <c r="Q119" s="12"/>
      <c r="R119" s="12"/>
      <c r="S119" s="12"/>
      <c r="T119" s="12"/>
      <c r="U119" s="12"/>
      <c r="V119" s="14"/>
      <c r="W119" s="12"/>
      <c r="X119" s="12"/>
      <c r="Y119" s="99"/>
      <c r="Z119" s="12"/>
      <c r="AA119" s="12"/>
      <c r="AB119" s="12"/>
      <c r="AC119" s="12"/>
      <c r="AD119" s="106"/>
      <c r="AE119" s="12"/>
      <c r="AF119" s="12"/>
      <c r="AG119" s="12"/>
      <c r="AH119" s="22"/>
      <c r="AI119" s="29"/>
      <c r="AJ119" s="17"/>
      <c r="AK119" s="17"/>
      <c r="AL119" s="17"/>
      <c r="AM119" s="17"/>
      <c r="AN119" s="17"/>
      <c r="AO119" s="17"/>
      <c r="BC119" s="15"/>
      <c r="BD119" s="15"/>
      <c r="BE119" s="15"/>
      <c r="BF119" s="15"/>
      <c r="BG119" s="15"/>
      <c r="BH119" s="15"/>
      <c r="BI119" s="15"/>
      <c r="BJ119" s="15"/>
      <c r="BK119" s="15"/>
      <c r="BL119" s="15"/>
      <c r="CF119" s="55"/>
      <c r="CG119" s="122" t="s">
        <v>189</v>
      </c>
      <c r="CH119" s="570">
        <v>0.11</v>
      </c>
      <c r="CI119" s="570">
        <v>0.1</v>
      </c>
      <c r="CJ119" s="570">
        <v>0.09</v>
      </c>
      <c r="CK119" s="570">
        <v>0.11</v>
      </c>
      <c r="CL119" s="570">
        <v>0.19</v>
      </c>
      <c r="CM119" s="570">
        <v>0.23</v>
      </c>
      <c r="EG119" s="292"/>
      <c r="EH119" s="292"/>
      <c r="EI119" s="292"/>
      <c r="EJ119" s="292"/>
      <c r="EK119" s="292"/>
      <c r="EL119" s="292"/>
      <c r="EM119" s="292"/>
      <c r="EN119" s="292"/>
      <c r="EO119" s="292"/>
      <c r="EP119" s="292"/>
      <c r="EQ119" s="292"/>
      <c r="ER119" s="292"/>
      <c r="ES119" s="292"/>
      <c r="ET119" s="292"/>
      <c r="EU119" s="292"/>
      <c r="EV119" s="292"/>
      <c r="EW119" s="292"/>
      <c r="EX119" s="292"/>
      <c r="FA119" s="292"/>
      <c r="FB119" s="292"/>
      <c r="FC119" s="292"/>
      <c r="FD119" s="292"/>
      <c r="FE119" s="292"/>
      <c r="FF119" s="292"/>
      <c r="FG119" s="292"/>
      <c r="FH119" s="292"/>
      <c r="FI119" s="292"/>
      <c r="FJ119" s="292"/>
      <c r="FK119" s="292"/>
      <c r="FL119" s="292"/>
      <c r="FM119" s="292"/>
      <c r="FN119" s="292"/>
      <c r="FO119" s="292"/>
      <c r="FP119" s="292"/>
      <c r="FQ119" s="292"/>
      <c r="FR119" s="292"/>
      <c r="FS119" s="292"/>
      <c r="FT119" s="292"/>
      <c r="FU119" s="292"/>
      <c r="FV119" s="292"/>
      <c r="FW119" s="292"/>
      <c r="FX119" s="292"/>
      <c r="FY119" s="292"/>
      <c r="FZ119" s="292"/>
      <c r="GA119" s="292"/>
      <c r="GB119" s="292"/>
      <c r="GC119" s="292"/>
      <c r="GD119" s="292"/>
      <c r="GE119" s="292"/>
      <c r="GF119" s="292"/>
      <c r="GG119" s="292"/>
      <c r="GH119" s="292"/>
      <c r="GI119" s="292"/>
      <c r="GJ119" s="292"/>
      <c r="GK119" s="292"/>
      <c r="GL119" s="292"/>
      <c r="GM119" s="292"/>
      <c r="GN119" s="292"/>
      <c r="GO119" s="292"/>
      <c r="GP119" s="292"/>
      <c r="GQ119" s="292"/>
      <c r="GR119" s="292"/>
      <c r="GS119" s="292"/>
      <c r="GT119" s="292"/>
      <c r="GU119" s="292"/>
      <c r="GV119" s="292"/>
      <c r="GW119" s="292"/>
      <c r="GX119" s="292"/>
      <c r="GY119" s="292"/>
      <c r="GZ119" s="292"/>
      <c r="HA119" s="292"/>
      <c r="HB119" s="292"/>
      <c r="HC119" s="292"/>
      <c r="HD119" s="292"/>
      <c r="HE119" s="292"/>
      <c r="HF119" s="292"/>
      <c r="HG119" s="292"/>
      <c r="HH119" s="292"/>
      <c r="HI119" s="292"/>
      <c r="HJ119" s="292"/>
      <c r="HK119" s="292"/>
      <c r="HL119" s="292"/>
      <c r="HM119" s="292"/>
      <c r="HN119" s="292"/>
      <c r="HO119" s="292"/>
      <c r="HP119" s="292"/>
      <c r="HQ119" s="292"/>
      <c r="HR119" s="292"/>
      <c r="HS119" s="292"/>
      <c r="HT119" s="292"/>
      <c r="HU119" s="292"/>
      <c r="HV119" s="292"/>
      <c r="HW119" s="292"/>
      <c r="HX119" s="292"/>
      <c r="HY119" s="292"/>
      <c r="HZ119" s="292"/>
      <c r="IA119" s="292"/>
      <c r="IB119" s="292"/>
      <c r="IC119" s="292"/>
      <c r="ID119" s="292"/>
      <c r="IE119" s="292"/>
      <c r="IF119" s="292"/>
      <c r="IG119" s="292"/>
      <c r="IH119" s="292"/>
      <c r="II119" s="292"/>
      <c r="IJ119" s="292"/>
      <c r="IK119" s="292"/>
      <c r="IL119" s="292"/>
      <c r="IM119" s="292"/>
      <c r="IN119" s="292"/>
      <c r="IO119" s="292"/>
      <c r="IP119" s="292"/>
      <c r="IQ119" s="292"/>
      <c r="IR119" s="292"/>
      <c r="IS119" s="292"/>
      <c r="IT119" s="292"/>
      <c r="IU119" s="292"/>
      <c r="IV119" s="292"/>
      <c r="IW119" s="292"/>
      <c r="IX119" s="292"/>
      <c r="IY119" s="292"/>
      <c r="IZ119" s="292"/>
      <c r="JA119" s="292"/>
      <c r="JB119" s="292"/>
      <c r="JC119" s="292"/>
      <c r="JD119" s="292"/>
      <c r="JE119" s="292"/>
      <c r="JF119" s="292"/>
      <c r="JG119" s="292"/>
      <c r="JH119" s="292"/>
      <c r="JI119" s="292"/>
      <c r="JJ119" s="292"/>
      <c r="JK119" s="292"/>
      <c r="JL119" s="292"/>
      <c r="JM119" s="292"/>
      <c r="JN119" s="292"/>
      <c r="JO119" s="292"/>
      <c r="JP119" s="292"/>
      <c r="JQ119" s="292"/>
      <c r="JR119" s="292"/>
      <c r="JS119" s="292"/>
      <c r="JT119" s="292"/>
      <c r="JU119" s="292"/>
      <c r="JV119" s="292"/>
      <c r="JW119" s="292"/>
      <c r="JX119" s="292"/>
      <c r="JY119" s="292"/>
      <c r="JZ119" s="292"/>
      <c r="KA119" s="292"/>
      <c r="KB119" s="292"/>
      <c r="KC119" s="292"/>
      <c r="KD119" s="292"/>
      <c r="KE119" s="292"/>
      <c r="KF119" s="292"/>
      <c r="KG119" s="292"/>
      <c r="KH119" s="292"/>
      <c r="KI119" s="292"/>
      <c r="KJ119" s="292"/>
      <c r="KK119" s="292"/>
      <c r="KL119" s="292"/>
      <c r="KM119" s="292"/>
      <c r="KN119" s="292"/>
      <c r="KO119" s="292"/>
      <c r="KP119" s="292"/>
      <c r="KQ119" s="292"/>
      <c r="KR119" s="292"/>
      <c r="KS119" s="292"/>
      <c r="KT119" s="292"/>
      <c r="KU119" s="292"/>
      <c r="KV119" s="292"/>
      <c r="KW119" s="292"/>
      <c r="KX119" s="292"/>
      <c r="KY119" s="292"/>
      <c r="KZ119" s="292"/>
      <c r="LA119" s="292"/>
      <c r="LB119" s="292"/>
      <c r="LC119" s="292"/>
      <c r="LD119" s="292"/>
      <c r="LE119" s="292"/>
      <c r="LF119" s="292"/>
      <c r="LG119" s="292"/>
      <c r="LH119" s="292"/>
      <c r="LI119" s="292"/>
      <c r="LJ119" s="292"/>
      <c r="LK119" s="292"/>
      <c r="LL119" s="292"/>
      <c r="LM119" s="292"/>
      <c r="LN119" s="292"/>
      <c r="LO119" s="292"/>
      <c r="LP119" s="292"/>
      <c r="LQ119" s="292"/>
      <c r="LR119" s="292"/>
      <c r="LS119" s="292"/>
      <c r="LT119" s="292"/>
      <c r="LU119" s="292"/>
      <c r="LV119" s="292"/>
      <c r="LW119" s="292"/>
      <c r="LX119" s="292"/>
      <c r="LY119" s="292"/>
      <c r="LZ119" s="292"/>
      <c r="MA119" s="292"/>
      <c r="MB119" s="292"/>
      <c r="MC119" s="292"/>
      <c r="MD119" s="292"/>
      <c r="ME119" s="292"/>
      <c r="MF119" s="292"/>
      <c r="MG119" s="292"/>
      <c r="MH119" s="292"/>
      <c r="MI119" s="292"/>
      <c r="MJ119" s="292"/>
      <c r="MK119" s="292"/>
      <c r="ML119" s="292"/>
      <c r="MM119" s="292"/>
      <c r="MN119" s="292"/>
      <c r="MO119" s="292"/>
      <c r="MP119" s="292"/>
      <c r="MQ119" s="292"/>
      <c r="MR119" s="292"/>
      <c r="MS119" s="292"/>
      <c r="MT119" s="292"/>
      <c r="MU119" s="292"/>
      <c r="MV119" s="292"/>
      <c r="MW119" s="292"/>
      <c r="MX119" s="292"/>
      <c r="MY119" s="292"/>
      <c r="MZ119" s="292"/>
      <c r="NA119" s="292"/>
      <c r="NB119" s="292"/>
      <c r="NC119" s="292"/>
      <c r="ND119" s="292"/>
      <c r="NE119" s="292"/>
      <c r="NF119" s="292"/>
      <c r="NG119" s="292"/>
      <c r="NH119" s="292"/>
      <c r="NI119" s="292"/>
      <c r="NJ119" s="292"/>
      <c r="NK119" s="292"/>
      <c r="NL119" s="292"/>
      <c r="NM119" s="292"/>
      <c r="NN119" s="292"/>
      <c r="NO119" s="292"/>
      <c r="NP119" s="292"/>
      <c r="NQ119" s="292"/>
      <c r="NR119" s="292"/>
      <c r="NS119" s="292"/>
      <c r="NT119" s="292"/>
      <c r="NU119" s="292"/>
      <c r="NV119" s="292"/>
      <c r="NW119" s="292"/>
      <c r="NX119" s="292"/>
      <c r="NY119" s="568"/>
      <c r="NZ119" s="568"/>
      <c r="OA119" s="575"/>
      <c r="OB119" s="575"/>
      <c r="OC119" s="578"/>
      <c r="OD119" s="578"/>
    </row>
    <row r="120" spans="1:394" s="20" customFormat="1" ht="12" customHeight="1">
      <c r="D120" s="12"/>
      <c r="E120" s="12"/>
      <c r="F120" s="12"/>
      <c r="G120" s="12"/>
      <c r="H120" s="107"/>
      <c r="I120" s="12"/>
      <c r="J120" s="12"/>
      <c r="K120" s="12"/>
      <c r="L120" s="12"/>
      <c r="M120" s="12"/>
      <c r="N120" s="17"/>
      <c r="O120" s="17"/>
      <c r="P120" s="17"/>
      <c r="Q120" s="17"/>
      <c r="R120" s="17"/>
      <c r="S120" s="17"/>
      <c r="T120" s="17"/>
      <c r="U120" s="12"/>
      <c r="V120" s="90"/>
      <c r="W120" s="12"/>
      <c r="X120" s="12"/>
      <c r="Y120" s="12"/>
      <c r="Z120" s="12"/>
      <c r="AA120" s="12"/>
      <c r="AB120" s="12"/>
      <c r="AC120" s="12"/>
      <c r="AD120" s="106"/>
      <c r="AE120" s="12"/>
      <c r="AF120" s="12"/>
      <c r="AG120" s="12"/>
      <c r="AH120" s="22"/>
      <c r="AI120" s="29"/>
      <c r="AJ120" s="17"/>
      <c r="AK120" s="17"/>
      <c r="AL120" s="17"/>
      <c r="AM120" s="17"/>
      <c r="AN120" s="17"/>
      <c r="AO120" s="17"/>
      <c r="BC120" s="15"/>
      <c r="BD120" s="15"/>
      <c r="BE120" s="15"/>
      <c r="BF120" s="15"/>
      <c r="BG120" s="15"/>
      <c r="BH120" s="15"/>
      <c r="BI120" s="15"/>
      <c r="BJ120" s="15"/>
      <c r="BK120" s="15"/>
      <c r="BL120" s="15"/>
      <c r="CF120" s="26"/>
      <c r="CG120" s="25" t="s">
        <v>180</v>
      </c>
      <c r="CH120" s="570">
        <v>0.11</v>
      </c>
      <c r="CI120" s="570">
        <v>7.0000000000000007E-2</v>
      </c>
      <c r="CJ120" s="570">
        <v>0.14000000000000001</v>
      </c>
      <c r="CK120" s="570">
        <v>0.1</v>
      </c>
      <c r="CL120" s="570">
        <v>7.0000000000000007E-2</v>
      </c>
      <c r="CM120" s="570">
        <v>0.08</v>
      </c>
      <c r="EG120" s="292"/>
      <c r="EH120" s="292"/>
      <c r="EI120" s="292"/>
      <c r="EJ120" s="292"/>
      <c r="EK120" s="292"/>
      <c r="EL120" s="292"/>
      <c r="EM120" s="292"/>
      <c r="EN120" s="292"/>
      <c r="EO120" s="292"/>
      <c r="EP120" s="292"/>
      <c r="EQ120" s="292"/>
      <c r="ER120" s="292"/>
      <c r="ES120" s="292"/>
      <c r="ET120" s="292"/>
      <c r="EU120" s="292"/>
      <c r="EV120" s="292"/>
      <c r="EW120" s="292"/>
      <c r="EX120" s="292"/>
      <c r="FA120" s="292"/>
      <c r="FB120" s="292"/>
      <c r="FC120" s="292"/>
      <c r="FD120" s="292"/>
      <c r="FE120" s="292"/>
      <c r="FF120" s="292"/>
      <c r="FG120" s="292"/>
      <c r="FH120" s="292"/>
      <c r="FI120" s="292"/>
      <c r="FJ120" s="292"/>
      <c r="FK120" s="292"/>
      <c r="FL120" s="292"/>
      <c r="FM120" s="292"/>
      <c r="FN120" s="292"/>
      <c r="FO120" s="292"/>
      <c r="FP120" s="292"/>
      <c r="FQ120" s="292"/>
      <c r="FR120" s="292"/>
      <c r="FS120" s="292"/>
      <c r="FT120" s="292"/>
      <c r="FU120" s="292"/>
      <c r="FV120" s="292"/>
      <c r="FW120" s="292"/>
      <c r="FX120" s="292"/>
      <c r="FY120" s="292"/>
      <c r="FZ120" s="292"/>
      <c r="GA120" s="292"/>
      <c r="GB120" s="292"/>
      <c r="GC120" s="292"/>
      <c r="GD120" s="292"/>
      <c r="GE120" s="292"/>
      <c r="GF120" s="292"/>
      <c r="GG120" s="292"/>
      <c r="GH120" s="292"/>
      <c r="GI120" s="292"/>
      <c r="GJ120" s="292"/>
      <c r="GK120" s="292"/>
      <c r="GL120" s="292"/>
      <c r="GM120" s="292"/>
      <c r="GN120" s="292"/>
      <c r="GO120" s="292"/>
      <c r="GP120" s="292"/>
      <c r="GQ120" s="292"/>
      <c r="GR120" s="292"/>
      <c r="GS120" s="292"/>
      <c r="GT120" s="292"/>
      <c r="GU120" s="292"/>
      <c r="GV120" s="292"/>
      <c r="GW120" s="292"/>
      <c r="GX120" s="292"/>
      <c r="GY120" s="292"/>
      <c r="GZ120" s="292"/>
      <c r="HA120" s="292"/>
      <c r="HB120" s="292"/>
      <c r="HC120" s="292"/>
      <c r="HD120" s="292"/>
      <c r="HE120" s="292"/>
      <c r="HF120" s="292"/>
      <c r="HG120" s="292"/>
      <c r="HH120" s="292"/>
      <c r="HI120" s="292"/>
      <c r="HJ120" s="292"/>
      <c r="HK120" s="292"/>
      <c r="HL120" s="292"/>
      <c r="HM120" s="292"/>
      <c r="HN120" s="292"/>
      <c r="HO120" s="292"/>
      <c r="HP120" s="292"/>
      <c r="HQ120" s="292"/>
      <c r="HR120" s="292"/>
      <c r="HS120" s="292"/>
      <c r="HT120" s="292"/>
      <c r="HU120" s="292"/>
      <c r="HV120" s="292"/>
      <c r="HW120" s="292"/>
      <c r="HX120" s="292"/>
      <c r="HY120" s="292"/>
      <c r="HZ120" s="292"/>
      <c r="IA120" s="292"/>
      <c r="IB120" s="292"/>
      <c r="IC120" s="292"/>
      <c r="ID120" s="292"/>
      <c r="IE120" s="292"/>
      <c r="IF120" s="292"/>
      <c r="IG120" s="292"/>
      <c r="IH120" s="292"/>
      <c r="II120" s="292"/>
      <c r="IJ120" s="292"/>
      <c r="IK120" s="292"/>
      <c r="IL120" s="292"/>
      <c r="IM120" s="292"/>
      <c r="IN120" s="292"/>
      <c r="IO120" s="292"/>
      <c r="IP120" s="292"/>
      <c r="IQ120" s="292"/>
      <c r="IR120" s="292"/>
      <c r="IS120" s="292"/>
      <c r="IT120" s="292"/>
      <c r="IU120" s="292"/>
      <c r="IV120" s="292"/>
      <c r="IW120" s="292"/>
      <c r="IX120" s="292"/>
      <c r="IY120" s="292"/>
      <c r="IZ120" s="292"/>
      <c r="JA120" s="292"/>
      <c r="JB120" s="292"/>
      <c r="JC120" s="292"/>
      <c r="JD120" s="292"/>
      <c r="JE120" s="292"/>
      <c r="JF120" s="292"/>
      <c r="JG120" s="292"/>
      <c r="JH120" s="292"/>
      <c r="JI120" s="292"/>
      <c r="JJ120" s="292"/>
      <c r="JK120" s="292"/>
      <c r="JL120" s="292"/>
      <c r="JM120" s="292"/>
      <c r="JN120" s="292"/>
      <c r="JO120" s="292"/>
      <c r="JP120" s="292"/>
      <c r="JQ120" s="292"/>
      <c r="JR120" s="292"/>
      <c r="JS120" s="292"/>
      <c r="JT120" s="292"/>
      <c r="JU120" s="292"/>
      <c r="JV120" s="292"/>
      <c r="JW120" s="292"/>
      <c r="JX120" s="292"/>
      <c r="JY120" s="292"/>
      <c r="JZ120" s="292"/>
      <c r="KA120" s="292"/>
      <c r="KB120" s="292"/>
      <c r="KC120" s="292"/>
      <c r="KD120" s="292"/>
      <c r="KE120" s="292"/>
      <c r="KF120" s="292"/>
      <c r="KG120" s="292"/>
      <c r="KH120" s="292"/>
      <c r="KI120" s="292"/>
      <c r="KJ120" s="292"/>
      <c r="KK120" s="292"/>
      <c r="KL120" s="292"/>
      <c r="KM120" s="292"/>
      <c r="KN120" s="292"/>
      <c r="KO120" s="292"/>
      <c r="KP120" s="292"/>
      <c r="KQ120" s="292"/>
      <c r="KR120" s="292"/>
      <c r="KS120" s="292"/>
      <c r="KT120" s="292"/>
      <c r="KU120" s="292"/>
      <c r="KV120" s="292"/>
      <c r="KW120" s="292"/>
      <c r="KX120" s="292"/>
      <c r="KY120" s="292"/>
      <c r="KZ120" s="292"/>
      <c r="LA120" s="292"/>
      <c r="LB120" s="292"/>
      <c r="LC120" s="292"/>
      <c r="LD120" s="292"/>
      <c r="LE120" s="292"/>
      <c r="LF120" s="292"/>
      <c r="LG120" s="292"/>
      <c r="LH120" s="292"/>
      <c r="LI120" s="292"/>
      <c r="LJ120" s="292"/>
      <c r="LK120" s="292"/>
      <c r="LL120" s="292"/>
      <c r="LM120" s="292"/>
      <c r="LN120" s="292"/>
      <c r="LO120" s="292"/>
      <c r="LP120" s="292"/>
      <c r="LQ120" s="292"/>
      <c r="LR120" s="292"/>
      <c r="LS120" s="292"/>
      <c r="LT120" s="292"/>
      <c r="LU120" s="292"/>
      <c r="LV120" s="292"/>
      <c r="LW120" s="292"/>
      <c r="LX120" s="292"/>
      <c r="LY120" s="292"/>
      <c r="LZ120" s="292"/>
      <c r="MA120" s="292"/>
      <c r="MB120" s="292"/>
      <c r="MC120" s="292"/>
      <c r="MD120" s="292"/>
      <c r="ME120" s="292"/>
      <c r="MF120" s="292"/>
      <c r="MG120" s="292"/>
      <c r="MH120" s="292"/>
      <c r="MI120" s="292"/>
      <c r="MJ120" s="292"/>
      <c r="MK120" s="292"/>
      <c r="ML120" s="292"/>
      <c r="MM120" s="292"/>
      <c r="MN120" s="292"/>
      <c r="MO120" s="292"/>
      <c r="MP120" s="292"/>
      <c r="MQ120" s="292"/>
      <c r="MR120" s="292"/>
      <c r="MS120" s="292"/>
      <c r="MT120" s="292"/>
      <c r="MU120" s="292"/>
      <c r="MV120" s="292"/>
      <c r="MW120" s="292"/>
      <c r="MX120" s="292"/>
      <c r="MY120" s="292"/>
      <c r="MZ120" s="292"/>
      <c r="NA120" s="292"/>
      <c r="NB120" s="292"/>
      <c r="NC120" s="292"/>
      <c r="ND120" s="292"/>
      <c r="NE120" s="292"/>
      <c r="NF120" s="292"/>
      <c r="NG120" s="292"/>
      <c r="NH120" s="292"/>
      <c r="NI120" s="292"/>
      <c r="NJ120" s="292"/>
      <c r="NK120" s="292"/>
      <c r="NL120" s="292"/>
      <c r="NM120" s="292"/>
      <c r="NN120" s="292"/>
      <c r="NO120" s="292"/>
      <c r="NP120" s="292"/>
      <c r="NQ120" s="292"/>
      <c r="NR120" s="292"/>
      <c r="NS120" s="292"/>
      <c r="NT120" s="292"/>
      <c r="NU120" s="292"/>
      <c r="NV120" s="292"/>
      <c r="NW120" s="292"/>
      <c r="NX120" s="292"/>
      <c r="NY120" s="568"/>
      <c r="NZ120" s="568"/>
      <c r="OA120" s="575"/>
      <c r="OB120" s="575"/>
      <c r="OC120" s="578"/>
      <c r="OD120" s="578"/>
    </row>
    <row r="121" spans="1:394" s="20" customFormat="1" ht="12" customHeight="1">
      <c r="D121" s="36"/>
      <c r="E121" s="17"/>
      <c r="F121" s="22"/>
      <c r="G121" s="22"/>
      <c r="H121" s="190"/>
      <c r="I121" s="17"/>
      <c r="J121" s="36"/>
      <c r="K121" s="188"/>
      <c r="L121" s="17"/>
      <c r="M121" s="17"/>
      <c r="N121" s="17"/>
      <c r="O121" s="17"/>
      <c r="P121" s="17"/>
      <c r="Q121" s="17"/>
      <c r="R121" s="17"/>
      <c r="S121" s="17"/>
      <c r="T121" s="17"/>
      <c r="U121" s="17"/>
      <c r="V121" s="14"/>
      <c r="W121" s="106"/>
      <c r="X121" s="12"/>
      <c r="Y121" s="12"/>
      <c r="Z121" s="12"/>
      <c r="AA121" s="12"/>
      <c r="AB121" s="12"/>
      <c r="AC121" s="12"/>
      <c r="AD121" s="106"/>
      <c r="AE121" s="12"/>
      <c r="AF121" s="12"/>
      <c r="AG121" s="12"/>
      <c r="AH121" s="22"/>
      <c r="AI121" s="67"/>
      <c r="AJ121" s="17"/>
      <c r="AK121" s="17"/>
      <c r="AL121" s="17"/>
      <c r="AM121" s="17"/>
      <c r="AN121" s="17"/>
      <c r="AO121" s="17"/>
      <c r="BC121" s="15"/>
      <c r="BD121" s="15"/>
      <c r="BE121" s="15"/>
      <c r="BF121" s="15"/>
      <c r="BG121" s="15"/>
      <c r="BH121" s="15"/>
      <c r="BI121" s="15"/>
      <c r="BJ121" s="15"/>
      <c r="BK121" s="15"/>
      <c r="BL121" s="15"/>
      <c r="BZ121" s="60"/>
      <c r="CB121" s="292"/>
      <c r="CF121" s="58" t="s">
        <v>41</v>
      </c>
      <c r="CG121" s="56" t="s">
        <v>8</v>
      </c>
      <c r="CH121" s="570">
        <v>0.74</v>
      </c>
      <c r="CI121" s="570">
        <v>0.8</v>
      </c>
      <c r="CJ121" s="570">
        <v>0.8</v>
      </c>
      <c r="CK121" s="570">
        <v>0.75</v>
      </c>
      <c r="CL121" s="570">
        <v>0.8</v>
      </c>
      <c r="CM121" s="570">
        <v>0.8</v>
      </c>
      <c r="EG121" s="292"/>
      <c r="EH121" s="292"/>
      <c r="EI121" s="292"/>
      <c r="EJ121" s="292"/>
      <c r="EK121" s="292"/>
      <c r="EL121" s="292"/>
      <c r="EM121" s="292"/>
      <c r="EN121" s="292"/>
      <c r="EO121" s="292"/>
      <c r="EP121" s="292"/>
      <c r="EQ121" s="292"/>
      <c r="ER121" s="292"/>
      <c r="ES121" s="292"/>
      <c r="ET121" s="292"/>
      <c r="EU121" s="292"/>
      <c r="EV121" s="292"/>
      <c r="EW121" s="292"/>
      <c r="EX121" s="292"/>
      <c r="FA121" s="292"/>
      <c r="FB121" s="292"/>
      <c r="FC121" s="292"/>
      <c r="FD121" s="292"/>
      <c r="FE121" s="292"/>
      <c r="FF121" s="292"/>
      <c r="FG121" s="292"/>
      <c r="FH121" s="292"/>
      <c r="FI121" s="292"/>
      <c r="FJ121" s="292"/>
      <c r="FK121" s="292"/>
      <c r="FL121" s="292"/>
      <c r="FM121" s="292"/>
      <c r="FN121" s="292"/>
      <c r="FO121" s="292"/>
      <c r="FP121" s="292"/>
      <c r="FQ121" s="292"/>
      <c r="FR121" s="292"/>
      <c r="FS121" s="292"/>
      <c r="FT121" s="292"/>
      <c r="FU121" s="292"/>
      <c r="FV121" s="292"/>
      <c r="FW121" s="292"/>
      <c r="FX121" s="292"/>
      <c r="FY121" s="292"/>
      <c r="FZ121" s="292"/>
      <c r="GA121" s="292"/>
      <c r="GB121" s="292"/>
      <c r="GC121" s="292"/>
      <c r="GD121" s="292"/>
      <c r="GE121" s="292"/>
      <c r="GF121" s="292"/>
      <c r="GG121" s="292"/>
      <c r="GH121" s="292"/>
      <c r="GI121" s="292"/>
      <c r="GJ121" s="292"/>
      <c r="GK121" s="292"/>
      <c r="GL121" s="292"/>
      <c r="GM121" s="292"/>
      <c r="GN121" s="292"/>
      <c r="GO121" s="292"/>
      <c r="GP121" s="292"/>
      <c r="GQ121" s="292"/>
      <c r="GR121" s="292"/>
      <c r="GS121" s="292"/>
      <c r="GT121" s="292"/>
      <c r="GU121" s="292"/>
      <c r="GV121" s="292"/>
      <c r="GW121" s="292"/>
      <c r="GX121" s="292"/>
      <c r="GY121" s="292"/>
      <c r="GZ121" s="292"/>
      <c r="HA121" s="292"/>
      <c r="HB121" s="292"/>
      <c r="HC121" s="292"/>
      <c r="HD121" s="292"/>
      <c r="HE121" s="292"/>
      <c r="HF121" s="292"/>
      <c r="HG121" s="292"/>
      <c r="HH121" s="292"/>
      <c r="HI121" s="292"/>
      <c r="HJ121" s="292"/>
      <c r="HK121" s="292"/>
      <c r="HL121" s="292"/>
      <c r="HM121" s="292"/>
      <c r="HN121" s="292"/>
      <c r="HO121" s="292"/>
      <c r="HP121" s="292"/>
      <c r="HQ121" s="292"/>
      <c r="HR121" s="292"/>
      <c r="HS121" s="292"/>
      <c r="HT121" s="292"/>
      <c r="HU121" s="292"/>
      <c r="HV121" s="292"/>
      <c r="HW121" s="292"/>
      <c r="HX121" s="292"/>
      <c r="HY121" s="292"/>
      <c r="HZ121" s="292"/>
      <c r="IA121" s="292"/>
      <c r="IB121" s="292"/>
      <c r="IC121" s="292"/>
      <c r="ID121" s="292"/>
      <c r="IE121" s="292"/>
      <c r="IF121" s="292"/>
      <c r="IG121" s="292"/>
      <c r="IH121" s="292"/>
      <c r="II121" s="292"/>
      <c r="IJ121" s="292"/>
      <c r="IK121" s="292"/>
      <c r="IL121" s="292"/>
      <c r="IM121" s="292"/>
      <c r="IN121" s="292"/>
      <c r="IO121" s="292"/>
      <c r="IP121" s="292"/>
      <c r="IQ121" s="292"/>
      <c r="IR121" s="292"/>
      <c r="IS121" s="292"/>
      <c r="IT121" s="292"/>
      <c r="IU121" s="292"/>
      <c r="IV121" s="292"/>
      <c r="IW121" s="292"/>
      <c r="IX121" s="292"/>
      <c r="IY121" s="292"/>
      <c r="IZ121" s="292"/>
      <c r="JA121" s="292"/>
      <c r="JB121" s="292"/>
      <c r="JC121" s="292"/>
      <c r="JD121" s="292"/>
      <c r="JE121" s="292"/>
      <c r="JF121" s="292"/>
      <c r="JG121" s="292"/>
      <c r="JH121" s="292"/>
      <c r="JI121" s="292"/>
      <c r="JJ121" s="292"/>
      <c r="JK121" s="292"/>
      <c r="JL121" s="292"/>
      <c r="JM121" s="292"/>
      <c r="JN121" s="292"/>
      <c r="JO121" s="292"/>
      <c r="JP121" s="292"/>
      <c r="JQ121" s="292"/>
      <c r="JR121" s="292"/>
      <c r="JS121" s="292"/>
      <c r="JT121" s="292"/>
      <c r="JU121" s="292"/>
      <c r="JV121" s="292"/>
      <c r="JW121" s="292"/>
      <c r="JX121" s="292"/>
      <c r="JY121" s="292"/>
      <c r="JZ121" s="292"/>
      <c r="KA121" s="292"/>
      <c r="KB121" s="292"/>
      <c r="KC121" s="292"/>
      <c r="KD121" s="292"/>
      <c r="KE121" s="292"/>
      <c r="KF121" s="292"/>
      <c r="KG121" s="292"/>
      <c r="KH121" s="292"/>
      <c r="KI121" s="292"/>
      <c r="KJ121" s="292"/>
      <c r="KK121" s="292"/>
      <c r="KL121" s="292"/>
      <c r="KM121" s="292"/>
      <c r="KN121" s="292"/>
      <c r="KO121" s="292"/>
      <c r="KP121" s="292"/>
      <c r="KQ121" s="292"/>
      <c r="KR121" s="292"/>
      <c r="KS121" s="292"/>
      <c r="KT121" s="292"/>
      <c r="KU121" s="292"/>
      <c r="KV121" s="292"/>
      <c r="KW121" s="292"/>
      <c r="KX121" s="292"/>
      <c r="KY121" s="292"/>
      <c r="KZ121" s="292"/>
      <c r="LA121" s="292"/>
      <c r="LB121" s="292"/>
      <c r="LC121" s="292"/>
      <c r="LD121" s="292"/>
      <c r="LE121" s="292"/>
      <c r="LF121" s="292"/>
      <c r="LG121" s="292"/>
      <c r="LH121" s="292"/>
      <c r="LI121" s="292"/>
      <c r="LJ121" s="292"/>
      <c r="LK121" s="292"/>
      <c r="LL121" s="292"/>
      <c r="LM121" s="292"/>
      <c r="LN121" s="292"/>
      <c r="LO121" s="292"/>
      <c r="LP121" s="292"/>
      <c r="LQ121" s="292"/>
      <c r="LR121" s="292"/>
      <c r="LS121" s="292"/>
      <c r="LT121" s="292"/>
      <c r="LU121" s="292"/>
      <c r="LV121" s="292"/>
      <c r="LW121" s="292"/>
      <c r="LX121" s="292"/>
      <c r="LY121" s="292"/>
      <c r="LZ121" s="292"/>
      <c r="MA121" s="292"/>
      <c r="MB121" s="292"/>
      <c r="MC121" s="292"/>
      <c r="MD121" s="292"/>
      <c r="ME121" s="292"/>
      <c r="MF121" s="292"/>
      <c r="MG121" s="292"/>
      <c r="MH121" s="292"/>
      <c r="MI121" s="292"/>
      <c r="MJ121" s="292"/>
      <c r="MK121" s="292"/>
      <c r="ML121" s="292"/>
      <c r="MM121" s="292"/>
      <c r="MN121" s="292"/>
      <c r="MO121" s="292"/>
      <c r="MP121" s="292"/>
      <c r="MQ121" s="292"/>
      <c r="MR121" s="292"/>
      <c r="MS121" s="292"/>
      <c r="MT121" s="292"/>
      <c r="MU121" s="292"/>
      <c r="MV121" s="292"/>
      <c r="MW121" s="292"/>
      <c r="MX121" s="292"/>
      <c r="MY121" s="292"/>
      <c r="MZ121" s="292"/>
      <c r="NA121" s="292"/>
      <c r="NB121" s="292"/>
      <c r="NC121" s="292"/>
      <c r="ND121" s="292"/>
      <c r="NE121" s="292"/>
      <c r="NF121" s="292"/>
      <c r="NG121" s="292"/>
      <c r="NH121" s="292"/>
      <c r="NI121" s="292"/>
      <c r="NJ121" s="292"/>
      <c r="NK121" s="292"/>
      <c r="NL121" s="292"/>
      <c r="NM121" s="292"/>
      <c r="NN121" s="292"/>
      <c r="NO121" s="292"/>
      <c r="NP121" s="292"/>
      <c r="NQ121" s="292"/>
      <c r="NR121" s="292"/>
      <c r="NS121" s="292"/>
      <c r="NT121" s="292"/>
      <c r="NU121" s="292"/>
      <c r="NV121" s="292"/>
      <c r="NW121" s="292"/>
      <c r="NX121" s="292"/>
      <c r="NY121" s="568"/>
      <c r="NZ121" s="568"/>
      <c r="OA121" s="575"/>
      <c r="OB121" s="575"/>
      <c r="OC121" s="578"/>
      <c r="OD121" s="578"/>
    </row>
    <row r="122" spans="1:394" s="20" customFormat="1" ht="12" customHeight="1">
      <c r="BC122" s="15"/>
      <c r="BD122" s="15"/>
      <c r="BE122" s="15"/>
      <c r="BF122" s="15"/>
      <c r="BG122" s="15"/>
      <c r="BH122" s="15"/>
      <c r="BI122" s="15"/>
      <c r="BJ122" s="15"/>
      <c r="BK122" s="15"/>
      <c r="BL122" s="15"/>
      <c r="BZ122" s="60"/>
      <c r="CB122" s="292"/>
      <c r="CF122" s="55"/>
      <c r="CG122" s="22" t="s">
        <v>209</v>
      </c>
      <c r="CH122" s="570">
        <f t="shared" ref="CH122:CI122" si="23">1-CH121</f>
        <v>0.26</v>
      </c>
      <c r="CI122" s="570">
        <f t="shared" si="23"/>
        <v>0.19999999999999996</v>
      </c>
      <c r="CJ122" s="570">
        <f t="shared" ref="CJ122" si="24">1-CJ121</f>
        <v>0.19999999999999996</v>
      </c>
      <c r="CK122" s="570">
        <f t="shared" ref="CK122" si="25">1-CK121</f>
        <v>0.25</v>
      </c>
      <c r="CL122" s="570">
        <v>0.2</v>
      </c>
      <c r="CM122" s="570">
        <v>0.2</v>
      </c>
      <c r="EG122" s="292"/>
      <c r="EH122" s="292"/>
      <c r="EI122" s="292"/>
      <c r="EJ122" s="292"/>
      <c r="EK122" s="292"/>
      <c r="EL122" s="292"/>
      <c r="EM122" s="292"/>
      <c r="EN122" s="292"/>
      <c r="EO122" s="292"/>
      <c r="EP122" s="292"/>
      <c r="EQ122" s="292"/>
      <c r="ER122" s="292"/>
      <c r="ES122" s="292"/>
      <c r="ET122" s="292"/>
      <c r="EU122" s="292"/>
      <c r="EV122" s="292"/>
      <c r="EW122" s="292"/>
      <c r="EX122" s="292"/>
      <c r="FA122" s="292"/>
      <c r="FB122" s="292"/>
      <c r="FC122" s="292"/>
      <c r="FD122" s="292"/>
      <c r="FE122" s="292"/>
      <c r="FF122" s="292"/>
      <c r="FG122" s="292"/>
      <c r="FH122" s="292"/>
      <c r="FI122" s="292"/>
      <c r="FJ122" s="292"/>
      <c r="FK122" s="292"/>
      <c r="FL122" s="292"/>
      <c r="FM122" s="292"/>
      <c r="FN122" s="292"/>
      <c r="FO122" s="292"/>
      <c r="FP122" s="292"/>
      <c r="FQ122" s="292"/>
      <c r="FR122" s="292"/>
      <c r="FS122" s="292"/>
      <c r="FT122" s="292"/>
      <c r="FU122" s="292"/>
      <c r="FV122" s="292"/>
      <c r="FW122" s="292"/>
      <c r="FX122" s="292"/>
      <c r="FY122" s="292"/>
      <c r="FZ122" s="292"/>
      <c r="GA122" s="292"/>
      <c r="GB122" s="292"/>
      <c r="GC122" s="292"/>
      <c r="GD122" s="292"/>
      <c r="GE122" s="292"/>
      <c r="GF122" s="292"/>
      <c r="GG122" s="292"/>
      <c r="GH122" s="292"/>
      <c r="GI122" s="292"/>
      <c r="GJ122" s="292"/>
      <c r="GK122" s="292"/>
      <c r="GL122" s="292"/>
      <c r="GM122" s="292"/>
      <c r="GN122" s="292"/>
      <c r="GO122" s="292"/>
      <c r="GP122" s="292"/>
      <c r="GQ122" s="292"/>
      <c r="GR122" s="292"/>
      <c r="GS122" s="292"/>
      <c r="GT122" s="292"/>
      <c r="GU122" s="292"/>
      <c r="GV122" s="292"/>
      <c r="GW122" s="292"/>
      <c r="GX122" s="292"/>
      <c r="GY122" s="292"/>
      <c r="GZ122" s="292"/>
      <c r="HA122" s="292"/>
      <c r="HB122" s="292"/>
      <c r="HC122" s="292"/>
      <c r="HD122" s="292"/>
      <c r="HE122" s="292"/>
      <c r="HF122" s="292"/>
      <c r="HG122" s="292"/>
      <c r="HH122" s="292"/>
      <c r="HI122" s="292"/>
      <c r="HJ122" s="292"/>
      <c r="HK122" s="292"/>
      <c r="HL122" s="292"/>
      <c r="HM122" s="292"/>
      <c r="HN122" s="292"/>
      <c r="HO122" s="292"/>
      <c r="HP122" s="292"/>
      <c r="HQ122" s="292"/>
      <c r="HR122" s="292"/>
      <c r="HS122" s="292"/>
      <c r="HT122" s="292"/>
      <c r="HU122" s="292"/>
      <c r="HV122" s="292"/>
      <c r="HW122" s="292"/>
      <c r="HX122" s="292"/>
      <c r="HY122" s="292"/>
      <c r="HZ122" s="292"/>
      <c r="IA122" s="292"/>
      <c r="IB122" s="292"/>
      <c r="IC122" s="292"/>
      <c r="ID122" s="292"/>
      <c r="IE122" s="292"/>
      <c r="IF122" s="292"/>
      <c r="IG122" s="292"/>
      <c r="IH122" s="292"/>
      <c r="II122" s="292"/>
      <c r="IJ122" s="292"/>
      <c r="IK122" s="292"/>
      <c r="IL122" s="292"/>
      <c r="IM122" s="292"/>
      <c r="IN122" s="292"/>
      <c r="IO122" s="292"/>
      <c r="IP122" s="292"/>
      <c r="IQ122" s="292"/>
      <c r="IR122" s="292"/>
      <c r="IS122" s="292"/>
      <c r="IT122" s="292"/>
      <c r="IU122" s="292"/>
      <c r="IV122" s="292"/>
      <c r="IW122" s="292"/>
      <c r="IX122" s="292"/>
      <c r="IY122" s="292"/>
      <c r="IZ122" s="292"/>
      <c r="JA122" s="292"/>
      <c r="JB122" s="292"/>
      <c r="JC122" s="292"/>
      <c r="JD122" s="292"/>
      <c r="JE122" s="292"/>
      <c r="JF122" s="292"/>
      <c r="JG122" s="292"/>
      <c r="JH122" s="292"/>
      <c r="JI122" s="292"/>
      <c r="JJ122" s="292"/>
      <c r="JK122" s="292"/>
      <c r="JL122" s="292"/>
      <c r="JM122" s="292"/>
      <c r="JN122" s="292"/>
      <c r="JO122" s="292"/>
      <c r="JP122" s="292"/>
      <c r="JQ122" s="292"/>
      <c r="JR122" s="292"/>
      <c r="JS122" s="292"/>
      <c r="JT122" s="292"/>
      <c r="JU122" s="292"/>
      <c r="JV122" s="292"/>
      <c r="JW122" s="292"/>
      <c r="JX122" s="292"/>
      <c r="JY122" s="292"/>
      <c r="JZ122" s="292"/>
      <c r="KA122" s="292"/>
      <c r="KB122" s="292"/>
      <c r="KC122" s="292"/>
      <c r="KD122" s="292"/>
      <c r="KE122" s="292"/>
      <c r="KF122" s="292"/>
      <c r="KG122" s="292"/>
      <c r="KH122" s="292"/>
      <c r="KI122" s="292"/>
      <c r="KJ122" s="292"/>
      <c r="KK122" s="292"/>
      <c r="KL122" s="292"/>
      <c r="KM122" s="292"/>
      <c r="KN122" s="292"/>
      <c r="KO122" s="292"/>
      <c r="KP122" s="292"/>
      <c r="KQ122" s="292"/>
      <c r="KR122" s="292"/>
      <c r="KS122" s="292"/>
      <c r="KT122" s="292"/>
      <c r="KU122" s="292"/>
      <c r="KV122" s="292"/>
      <c r="KW122" s="292"/>
      <c r="KX122" s="292"/>
      <c r="KY122" s="292"/>
      <c r="KZ122" s="292"/>
      <c r="LA122" s="292"/>
      <c r="LB122" s="292"/>
      <c r="LC122" s="292"/>
      <c r="LD122" s="292"/>
      <c r="LE122" s="292"/>
      <c r="LF122" s="292"/>
      <c r="LG122" s="292"/>
      <c r="LH122" s="292"/>
      <c r="LI122" s="292"/>
      <c r="LJ122" s="292"/>
      <c r="LK122" s="292"/>
      <c r="LL122" s="292"/>
      <c r="LM122" s="292"/>
      <c r="LN122" s="292"/>
      <c r="LO122" s="292"/>
      <c r="LP122" s="292"/>
      <c r="LQ122" s="292"/>
      <c r="LR122" s="292"/>
      <c r="LS122" s="292"/>
      <c r="LT122" s="292"/>
      <c r="LU122" s="292"/>
      <c r="LV122" s="292"/>
      <c r="LW122" s="292"/>
      <c r="LX122" s="292"/>
      <c r="LY122" s="292"/>
      <c r="LZ122" s="292"/>
      <c r="MA122" s="292"/>
      <c r="MB122" s="292"/>
      <c r="MC122" s="292"/>
      <c r="MD122" s="292"/>
      <c r="ME122" s="292"/>
      <c r="MF122" s="292"/>
      <c r="MG122" s="292"/>
      <c r="MH122" s="292"/>
      <c r="MI122" s="292"/>
      <c r="MJ122" s="292"/>
      <c r="MK122" s="292"/>
      <c r="ML122" s="292"/>
      <c r="MM122" s="292"/>
      <c r="MN122" s="292"/>
      <c r="MO122" s="292"/>
      <c r="MP122" s="292"/>
      <c r="MQ122" s="292"/>
      <c r="MR122" s="292"/>
      <c r="MS122" s="292"/>
      <c r="MT122" s="292"/>
      <c r="MU122" s="292"/>
      <c r="MV122" s="292"/>
      <c r="MW122" s="292"/>
      <c r="MX122" s="292"/>
      <c r="MY122" s="292"/>
      <c r="MZ122" s="292"/>
      <c r="NA122" s="292"/>
      <c r="NB122" s="292"/>
      <c r="NC122" s="292"/>
      <c r="ND122" s="292"/>
      <c r="NE122" s="292"/>
      <c r="NF122" s="292"/>
      <c r="NG122" s="292"/>
      <c r="NH122" s="292"/>
      <c r="NI122" s="292"/>
      <c r="NJ122" s="292"/>
      <c r="NK122" s="292"/>
      <c r="NL122" s="292"/>
      <c r="NM122" s="292"/>
      <c r="NN122" s="292"/>
      <c r="NO122" s="292"/>
      <c r="NP122" s="292"/>
      <c r="NQ122" s="292"/>
      <c r="NR122" s="292"/>
      <c r="NS122" s="292"/>
      <c r="NT122" s="292"/>
      <c r="NU122" s="292"/>
      <c r="NV122" s="292"/>
      <c r="NW122" s="292"/>
      <c r="NX122" s="292"/>
      <c r="NY122" s="568"/>
      <c r="NZ122" s="568"/>
      <c r="OA122" s="575"/>
      <c r="OB122" s="575"/>
      <c r="OC122" s="578"/>
      <c r="OD122" s="578"/>
    </row>
    <row r="123" spans="1:394" s="20" customFormat="1" ht="12" hidden="1" customHeight="1">
      <c r="D123" s="67"/>
      <c r="E123" s="67"/>
      <c r="F123" s="67"/>
      <c r="G123" s="44"/>
      <c r="H123" s="6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BC123" s="15"/>
      <c r="BD123" s="15"/>
      <c r="BE123" s="15"/>
      <c r="BF123" s="15"/>
      <c r="BG123" s="15"/>
      <c r="BH123" s="15"/>
      <c r="BI123" s="15"/>
      <c r="BJ123" s="15"/>
      <c r="BK123" s="15"/>
      <c r="BL123" s="15"/>
      <c r="BZ123" s="60"/>
      <c r="CB123" s="292"/>
      <c r="CF123" s="81"/>
      <c r="CG123" s="291"/>
      <c r="CH123" s="464"/>
      <c r="CI123" s="178"/>
      <c r="CJ123" s="178"/>
      <c r="CK123" s="178"/>
      <c r="CL123" s="178"/>
      <c r="CM123" s="464"/>
      <c r="EG123" s="292"/>
      <c r="EH123" s="292"/>
      <c r="EI123" s="292"/>
      <c r="EJ123" s="292"/>
      <c r="EK123" s="292"/>
      <c r="EL123" s="292"/>
      <c r="EM123" s="292"/>
      <c r="EN123" s="292"/>
      <c r="EO123" s="292"/>
      <c r="EP123" s="292"/>
      <c r="EQ123" s="292"/>
      <c r="ER123" s="292"/>
      <c r="ES123" s="292"/>
      <c r="ET123" s="292"/>
      <c r="EU123" s="292"/>
      <c r="EV123" s="292"/>
      <c r="EW123" s="292"/>
      <c r="EX123" s="292"/>
      <c r="FA123" s="292"/>
      <c r="FB123" s="292"/>
      <c r="FC123" s="292"/>
      <c r="FD123" s="292"/>
      <c r="FE123" s="292"/>
      <c r="FF123" s="292"/>
      <c r="FG123" s="292"/>
      <c r="FH123" s="292"/>
      <c r="FI123" s="292"/>
      <c r="FJ123" s="292"/>
      <c r="FK123" s="292"/>
      <c r="FL123" s="292"/>
      <c r="FM123" s="292"/>
      <c r="FN123" s="292"/>
      <c r="FO123" s="292"/>
      <c r="FP123" s="292"/>
      <c r="FQ123" s="292"/>
      <c r="FR123" s="292"/>
      <c r="FS123" s="292"/>
      <c r="FT123" s="292"/>
      <c r="FU123" s="292"/>
      <c r="FV123" s="292"/>
      <c r="FW123" s="292"/>
      <c r="FX123" s="292"/>
      <c r="FY123" s="292"/>
      <c r="FZ123" s="292"/>
      <c r="GA123" s="292"/>
      <c r="GB123" s="292"/>
      <c r="GC123" s="292"/>
      <c r="GD123" s="292"/>
      <c r="GE123" s="292"/>
      <c r="GF123" s="292"/>
      <c r="GG123" s="292"/>
      <c r="GH123" s="292"/>
      <c r="GI123" s="292"/>
      <c r="GJ123" s="292"/>
      <c r="GK123" s="292"/>
      <c r="GL123" s="292"/>
      <c r="GM123" s="292"/>
      <c r="GN123" s="292"/>
      <c r="GO123" s="292"/>
      <c r="GP123" s="292"/>
      <c r="GQ123" s="292"/>
      <c r="GR123" s="292"/>
      <c r="GS123" s="292"/>
      <c r="GT123" s="292"/>
      <c r="GU123" s="292"/>
      <c r="GV123" s="292"/>
      <c r="GW123" s="292"/>
      <c r="GX123" s="292"/>
      <c r="GY123" s="292"/>
      <c r="GZ123" s="292"/>
      <c r="HA123" s="292"/>
      <c r="HB123" s="292"/>
      <c r="HC123" s="292"/>
      <c r="HD123" s="292"/>
      <c r="HE123" s="292"/>
      <c r="HF123" s="292"/>
      <c r="HG123" s="292"/>
      <c r="HH123" s="292"/>
      <c r="HI123" s="292"/>
      <c r="HJ123" s="292"/>
      <c r="HK123" s="292"/>
      <c r="HL123" s="292"/>
      <c r="HM123" s="292"/>
      <c r="HN123" s="292"/>
      <c r="HO123" s="292"/>
      <c r="HP123" s="292"/>
      <c r="HQ123" s="292"/>
      <c r="HR123" s="292"/>
      <c r="HS123" s="292"/>
      <c r="HT123" s="292"/>
      <c r="HU123" s="292"/>
      <c r="HV123" s="292"/>
      <c r="HW123" s="292"/>
      <c r="HX123" s="292"/>
      <c r="HY123" s="292"/>
      <c r="HZ123" s="292"/>
      <c r="IA123" s="292"/>
      <c r="IB123" s="292"/>
      <c r="IC123" s="292"/>
      <c r="ID123" s="292"/>
      <c r="IE123" s="292"/>
      <c r="IF123" s="292"/>
      <c r="IG123" s="292"/>
      <c r="IH123" s="292"/>
      <c r="II123" s="292"/>
      <c r="IJ123" s="292"/>
      <c r="IK123" s="292"/>
      <c r="IL123" s="292"/>
      <c r="IM123" s="292"/>
      <c r="IN123" s="292"/>
      <c r="IO123" s="292"/>
      <c r="IP123" s="292"/>
      <c r="IQ123" s="292"/>
      <c r="IR123" s="292"/>
      <c r="IS123" s="292"/>
      <c r="IT123" s="292"/>
      <c r="IU123" s="292"/>
      <c r="IV123" s="292"/>
      <c r="IW123" s="292"/>
      <c r="IX123" s="292"/>
      <c r="IY123" s="292"/>
      <c r="IZ123" s="292"/>
      <c r="JA123" s="292"/>
      <c r="JB123" s="292"/>
      <c r="JC123" s="292"/>
      <c r="JD123" s="292"/>
      <c r="JE123" s="292"/>
      <c r="JF123" s="292"/>
      <c r="JG123" s="292"/>
      <c r="JH123" s="292"/>
      <c r="JI123" s="292"/>
      <c r="JJ123" s="292"/>
      <c r="JK123" s="292"/>
      <c r="JL123" s="292"/>
      <c r="JM123" s="292"/>
      <c r="JN123" s="292"/>
      <c r="JO123" s="292"/>
      <c r="JP123" s="292"/>
      <c r="JQ123" s="292"/>
      <c r="JR123" s="292"/>
      <c r="JS123" s="292"/>
      <c r="JT123" s="292"/>
      <c r="JU123" s="292"/>
      <c r="JV123" s="292"/>
      <c r="JW123" s="292"/>
      <c r="JX123" s="292"/>
      <c r="JY123" s="292"/>
      <c r="JZ123" s="292"/>
      <c r="KA123" s="292"/>
      <c r="KB123" s="292"/>
      <c r="KC123" s="292"/>
      <c r="KD123" s="292"/>
      <c r="KE123" s="292"/>
      <c r="KF123" s="292"/>
      <c r="KG123" s="292"/>
      <c r="KH123" s="292"/>
      <c r="KI123" s="292"/>
      <c r="KJ123" s="292"/>
      <c r="KK123" s="292"/>
      <c r="KL123" s="292"/>
      <c r="KM123" s="292"/>
      <c r="KN123" s="292"/>
      <c r="KO123" s="292"/>
      <c r="KP123" s="292"/>
      <c r="KQ123" s="292"/>
      <c r="KR123" s="292"/>
      <c r="KS123" s="292"/>
      <c r="KT123" s="292"/>
      <c r="KU123" s="292"/>
      <c r="KV123" s="292"/>
      <c r="KW123" s="292"/>
      <c r="KX123" s="292"/>
      <c r="KY123" s="292"/>
      <c r="KZ123" s="292"/>
      <c r="LA123" s="292"/>
      <c r="LB123" s="292"/>
      <c r="LC123" s="292"/>
      <c r="LD123" s="292"/>
      <c r="LE123" s="292"/>
      <c r="LF123" s="292"/>
      <c r="LG123" s="292"/>
      <c r="LH123" s="292"/>
      <c r="LI123" s="292"/>
      <c r="LJ123" s="292"/>
      <c r="LK123" s="292"/>
      <c r="LL123" s="292"/>
      <c r="LM123" s="292"/>
      <c r="LN123" s="292"/>
      <c r="LO123" s="292"/>
      <c r="LP123" s="292"/>
      <c r="LQ123" s="292"/>
      <c r="LR123" s="292"/>
      <c r="LS123" s="292"/>
      <c r="LT123" s="292"/>
      <c r="LU123" s="292"/>
      <c r="LV123" s="292"/>
      <c r="LW123" s="292"/>
      <c r="LX123" s="292"/>
      <c r="LY123" s="292"/>
      <c r="LZ123" s="292"/>
      <c r="MA123" s="292"/>
      <c r="MB123" s="292"/>
      <c r="MC123" s="292"/>
      <c r="MD123" s="292"/>
      <c r="ME123" s="292"/>
      <c r="MF123" s="292"/>
      <c r="MG123" s="292"/>
      <c r="MH123" s="292"/>
      <c r="MI123" s="292"/>
      <c r="MJ123" s="292"/>
      <c r="MK123" s="292"/>
      <c r="ML123" s="292"/>
      <c r="MM123" s="292"/>
      <c r="MN123" s="292"/>
      <c r="MO123" s="292"/>
      <c r="MP123" s="292"/>
      <c r="MQ123" s="292"/>
      <c r="MR123" s="292"/>
      <c r="MS123" s="292"/>
      <c r="MT123" s="292"/>
      <c r="MU123" s="292"/>
      <c r="MV123" s="292"/>
      <c r="MW123" s="292"/>
      <c r="MX123" s="292"/>
      <c r="MY123" s="292"/>
      <c r="MZ123" s="292"/>
      <c r="NA123" s="292"/>
      <c r="NB123" s="292"/>
      <c r="NC123" s="292"/>
      <c r="ND123" s="292"/>
      <c r="NE123" s="292"/>
      <c r="NF123" s="292"/>
      <c r="NG123" s="292"/>
      <c r="NH123" s="292"/>
      <c r="NI123" s="292"/>
      <c r="NJ123" s="292"/>
      <c r="NK123" s="292"/>
      <c r="NL123" s="292"/>
      <c r="NM123" s="292"/>
      <c r="NN123" s="292"/>
      <c r="NO123" s="292"/>
      <c r="NP123" s="292"/>
      <c r="NQ123" s="292"/>
      <c r="NR123" s="292"/>
      <c r="NS123" s="292"/>
      <c r="NT123" s="292"/>
      <c r="NU123" s="292"/>
      <c r="NV123" s="292"/>
      <c r="NW123" s="292"/>
      <c r="NX123" s="292"/>
      <c r="NY123" s="568"/>
      <c r="NZ123" s="568"/>
      <c r="OA123" s="575"/>
      <c r="OB123" s="575"/>
      <c r="OC123" s="578"/>
      <c r="OD123" s="578"/>
    </row>
    <row r="124" spans="1:394" s="20" customFormat="1" ht="12" customHeight="1">
      <c r="D124" s="82"/>
      <c r="E124" s="82"/>
      <c r="F124" s="82"/>
      <c r="G124" s="73"/>
      <c r="H124" s="67"/>
      <c r="K124" s="17"/>
      <c r="L124" s="17"/>
      <c r="O124" s="17"/>
      <c r="Z124" s="17"/>
      <c r="AL124" s="17"/>
      <c r="AN124" s="17"/>
      <c r="AO124" s="17"/>
      <c r="BC124" s="15"/>
      <c r="BD124" s="15"/>
      <c r="BE124" s="15"/>
      <c r="BF124" s="15"/>
      <c r="BG124" s="15"/>
      <c r="BH124" s="15"/>
      <c r="BI124" s="15"/>
      <c r="BJ124" s="15"/>
      <c r="BK124" s="15"/>
      <c r="BL124" s="15"/>
      <c r="BZ124" s="60"/>
      <c r="CB124" s="292"/>
      <c r="CF124" s="58" t="s">
        <v>85</v>
      </c>
      <c r="CG124" s="123" t="s">
        <v>45</v>
      </c>
      <c r="CH124" s="570">
        <v>0.91</v>
      </c>
      <c r="CI124" s="570">
        <v>0.86</v>
      </c>
      <c r="CJ124" s="570">
        <v>0.89</v>
      </c>
      <c r="CK124" s="570">
        <v>0.95</v>
      </c>
      <c r="CL124" s="570">
        <v>0.93400000000000005</v>
      </c>
      <c r="CM124" s="570">
        <v>0.95</v>
      </c>
      <c r="CZ124" s="536"/>
      <c r="DA124" s="537"/>
      <c r="DB124" s="537"/>
      <c r="DC124" s="537"/>
      <c r="DD124" s="537"/>
      <c r="DE124" s="537"/>
      <c r="DF124" s="537"/>
      <c r="DG124" s="537"/>
      <c r="DH124" s="537"/>
      <c r="DI124" s="537"/>
      <c r="DJ124" s="537"/>
      <c r="DK124" s="537"/>
      <c r="DL124" s="537"/>
      <c r="DM124" s="537"/>
      <c r="DN124" s="537"/>
      <c r="DO124" s="537"/>
      <c r="DP124" s="537"/>
      <c r="DQ124" s="537"/>
      <c r="DR124" s="537"/>
      <c r="DS124" s="537"/>
      <c r="DT124" s="537"/>
      <c r="DU124" s="537"/>
      <c r="DV124" s="537"/>
      <c r="DW124" s="537"/>
      <c r="DX124" s="537"/>
      <c r="DY124" s="537"/>
      <c r="DZ124" s="537"/>
      <c r="EA124" s="537"/>
      <c r="EB124" s="537"/>
      <c r="EC124" s="537"/>
      <c r="ED124" s="537"/>
      <c r="EE124" s="537"/>
      <c r="EF124" s="537"/>
      <c r="EG124" s="537"/>
      <c r="EH124" s="537"/>
      <c r="EI124" s="537"/>
      <c r="EJ124" s="537"/>
      <c r="EK124" s="537"/>
      <c r="EL124" s="537"/>
      <c r="EM124" s="537"/>
      <c r="EN124" s="537"/>
      <c r="EO124" s="537"/>
      <c r="EP124" s="537"/>
      <c r="EQ124" s="537"/>
      <c r="ER124" s="537"/>
      <c r="ES124" s="537"/>
      <c r="ET124" s="537"/>
      <c r="EU124" s="537"/>
      <c r="EV124" s="537"/>
      <c r="EW124" s="537"/>
      <c r="EX124" s="537"/>
      <c r="EY124" s="537"/>
      <c r="EZ124" s="537"/>
      <c r="FA124" s="537"/>
      <c r="FB124" s="537"/>
      <c r="FC124" s="537"/>
      <c r="FD124" s="537"/>
      <c r="FE124" s="537"/>
      <c r="FF124" s="537"/>
      <c r="FG124" s="537"/>
      <c r="FH124" s="537"/>
      <c r="FI124" s="537"/>
      <c r="FJ124" s="537"/>
      <c r="FK124" s="537"/>
      <c r="FL124" s="537"/>
      <c r="FM124" s="537"/>
      <c r="FN124" s="537"/>
      <c r="FO124" s="537"/>
      <c r="FP124" s="537"/>
      <c r="FQ124" s="537"/>
      <c r="FR124" s="537"/>
      <c r="FS124" s="537"/>
      <c r="FT124" s="537"/>
      <c r="FU124" s="537"/>
      <c r="FV124" s="537"/>
      <c r="FW124" s="537"/>
      <c r="FX124" s="537"/>
      <c r="FY124" s="537"/>
      <c r="FZ124" s="537"/>
      <c r="GA124" s="537"/>
      <c r="GB124" s="537"/>
      <c r="GC124" s="537"/>
      <c r="GD124" s="537"/>
      <c r="GE124" s="537"/>
      <c r="GF124" s="537"/>
      <c r="GG124" s="537"/>
      <c r="GH124" s="537"/>
      <c r="GI124" s="537"/>
      <c r="GJ124" s="537"/>
      <c r="GK124" s="537"/>
      <c r="GL124" s="537"/>
      <c r="GM124" s="537"/>
      <c r="GN124" s="537"/>
      <c r="GO124" s="537"/>
      <c r="GP124" s="537"/>
      <c r="GQ124" s="537"/>
      <c r="GR124" s="537"/>
      <c r="GS124" s="537"/>
      <c r="GT124" s="537"/>
      <c r="GU124" s="537"/>
      <c r="GV124" s="537"/>
      <c r="GW124" s="537"/>
      <c r="GX124" s="537"/>
      <c r="GY124" s="537"/>
      <c r="GZ124" s="537"/>
      <c r="HA124" s="537"/>
      <c r="HB124" s="537"/>
      <c r="HC124" s="537"/>
      <c r="HD124" s="537"/>
      <c r="HE124" s="537"/>
      <c r="HF124" s="537"/>
      <c r="HG124" s="537"/>
      <c r="HH124" s="537"/>
      <c r="HI124" s="537"/>
      <c r="HJ124" s="537"/>
      <c r="HK124" s="537"/>
      <c r="HL124" s="537"/>
      <c r="HM124" s="537"/>
      <c r="HN124" s="537"/>
      <c r="HO124" s="537"/>
      <c r="HP124" s="537"/>
      <c r="HQ124" s="537"/>
      <c r="HR124" s="537"/>
      <c r="HS124" s="537"/>
      <c r="HT124" s="537"/>
      <c r="HU124" s="537"/>
      <c r="HV124" s="537"/>
      <c r="HW124" s="537"/>
      <c r="HX124" s="537"/>
      <c r="HY124" s="537"/>
      <c r="HZ124" s="537"/>
      <c r="IA124" s="537"/>
      <c r="IB124" s="537"/>
      <c r="IC124" s="537"/>
      <c r="ID124" s="537"/>
      <c r="IE124" s="537"/>
      <c r="IF124" s="537"/>
      <c r="IG124" s="537"/>
      <c r="IH124" s="537"/>
      <c r="II124" s="537"/>
      <c r="IJ124" s="537"/>
      <c r="IK124" s="537"/>
      <c r="IL124" s="537"/>
      <c r="IM124" s="537"/>
      <c r="IN124" s="537"/>
      <c r="IO124" s="537"/>
      <c r="IP124" s="537"/>
      <c r="IQ124" s="537"/>
      <c r="IR124" s="537"/>
      <c r="IS124" s="537"/>
      <c r="IT124" s="537"/>
      <c r="IU124" s="537"/>
      <c r="IV124" s="537"/>
      <c r="IW124" s="537"/>
      <c r="IX124" s="537"/>
      <c r="IY124" s="537"/>
      <c r="IZ124" s="537"/>
      <c r="JA124" s="537"/>
      <c r="JB124" s="537"/>
      <c r="JC124" s="537"/>
      <c r="JD124" s="537"/>
      <c r="JE124" s="537"/>
      <c r="JF124" s="537"/>
      <c r="JG124" s="537"/>
      <c r="JH124" s="537"/>
      <c r="JI124" s="537"/>
      <c r="JJ124" s="537"/>
      <c r="JK124" s="537"/>
      <c r="JL124" s="537"/>
      <c r="JM124" s="537"/>
      <c r="JN124" s="537"/>
      <c r="JO124" s="537"/>
      <c r="JP124" s="537"/>
      <c r="JQ124" s="538"/>
      <c r="JR124" s="537"/>
      <c r="JS124" s="537"/>
      <c r="JT124" s="537"/>
      <c r="JU124" s="537"/>
      <c r="JV124" s="537"/>
      <c r="JW124" s="537"/>
      <c r="JX124" s="537"/>
      <c r="JY124" s="537"/>
      <c r="JZ124" s="537"/>
      <c r="KA124" s="537"/>
      <c r="KB124" s="537"/>
      <c r="KC124" s="537"/>
      <c r="KD124" s="537"/>
      <c r="KE124" s="537"/>
      <c r="KF124" s="537"/>
      <c r="KG124" s="537"/>
      <c r="KH124" s="537"/>
      <c r="KI124" s="537"/>
      <c r="KJ124" s="537"/>
      <c r="KK124" s="537"/>
      <c r="KL124" s="537"/>
      <c r="KM124" s="537"/>
      <c r="KN124" s="537"/>
      <c r="KO124" s="537"/>
      <c r="KP124" s="537"/>
      <c r="KQ124" s="537"/>
      <c r="KR124" s="537"/>
      <c r="KS124" s="537"/>
      <c r="KT124" s="537"/>
      <c r="KU124" s="537"/>
      <c r="KV124" s="537"/>
      <c r="KW124" s="537"/>
      <c r="KX124" s="537"/>
      <c r="KY124" s="537"/>
      <c r="KZ124" s="537"/>
      <c r="LA124" s="537"/>
      <c r="LB124" s="537"/>
      <c r="LC124" s="537"/>
      <c r="LD124" s="537"/>
      <c r="LE124" s="537"/>
      <c r="LF124" s="537"/>
      <c r="LG124" s="537"/>
      <c r="LH124" s="537"/>
      <c r="LI124" s="537"/>
      <c r="LJ124" s="537"/>
      <c r="LK124" s="537"/>
      <c r="LL124" s="537"/>
      <c r="LM124" s="537"/>
      <c r="LN124" s="537"/>
      <c r="LO124" s="537"/>
      <c r="LP124" s="537"/>
      <c r="LQ124" s="537"/>
      <c r="LR124" s="537"/>
      <c r="LS124" s="537"/>
      <c r="LT124" s="537"/>
      <c r="LU124" s="537"/>
      <c r="LV124" s="537"/>
      <c r="LW124" s="537"/>
      <c r="LX124" s="537"/>
      <c r="LY124" s="537"/>
      <c r="LZ124" s="537"/>
      <c r="MA124" s="537"/>
      <c r="MB124" s="537"/>
      <c r="MC124" s="537"/>
      <c r="MD124" s="537"/>
      <c r="ME124" s="537"/>
      <c r="MF124" s="537"/>
      <c r="MG124" s="537"/>
      <c r="MH124" s="537"/>
      <c r="MI124" s="537"/>
      <c r="MJ124" s="537"/>
      <c r="MK124" s="537"/>
      <c r="ML124" s="537"/>
      <c r="MM124" s="537"/>
      <c r="MN124" s="537"/>
      <c r="MO124" s="537"/>
      <c r="MP124" s="537"/>
      <c r="MQ124" s="537"/>
      <c r="MR124" s="537"/>
      <c r="MS124" s="537"/>
      <c r="MT124" s="537"/>
      <c r="MU124" s="537"/>
      <c r="MV124" s="537"/>
      <c r="MW124" s="537"/>
      <c r="MX124" s="537"/>
      <c r="MY124" s="537"/>
      <c r="MZ124" s="537"/>
      <c r="NA124" s="537"/>
      <c r="NB124" s="537"/>
      <c r="NC124" s="539"/>
      <c r="ND124" s="539"/>
      <c r="NE124" s="537"/>
      <c r="NF124" s="537"/>
      <c r="NG124" s="537"/>
      <c r="NH124" s="537"/>
      <c r="NI124" s="539"/>
      <c r="NJ124" s="539"/>
      <c r="NK124" s="539"/>
      <c r="NL124" s="539"/>
      <c r="NM124" s="539"/>
      <c r="NN124" s="539"/>
      <c r="NO124" s="539"/>
      <c r="NP124" s="539"/>
      <c r="NQ124" s="539"/>
      <c r="NR124" s="539"/>
      <c r="NS124" s="539"/>
      <c r="NT124" s="539"/>
      <c r="NU124" s="539"/>
      <c r="NV124" s="539"/>
      <c r="NW124" s="539"/>
      <c r="NX124" s="539"/>
      <c r="NY124" s="568"/>
      <c r="NZ124" s="568"/>
      <c r="OA124" s="575"/>
      <c r="OB124" s="575"/>
      <c r="OC124" s="578"/>
      <c r="OD124" s="578"/>
    </row>
    <row r="125" spans="1:394" s="20" customFormat="1" ht="12" customHeight="1">
      <c r="D125" s="82"/>
      <c r="E125" s="82"/>
      <c r="F125" s="82"/>
      <c r="G125" s="44"/>
      <c r="H125" s="67"/>
      <c r="K125" s="17"/>
      <c r="L125" s="17"/>
      <c r="O125" s="17"/>
      <c r="Z125" s="17"/>
      <c r="AL125" s="17"/>
      <c r="AN125" s="17"/>
      <c r="AO125" s="17"/>
      <c r="BC125" s="15"/>
      <c r="BD125" s="15"/>
      <c r="BE125" s="15"/>
      <c r="BF125" s="15"/>
      <c r="BG125" s="15"/>
      <c r="BH125" s="15"/>
      <c r="BI125" s="15"/>
      <c r="BJ125" s="15"/>
      <c r="BK125" s="15"/>
      <c r="BL125" s="15"/>
      <c r="BZ125" s="60"/>
      <c r="CB125" s="292"/>
      <c r="CF125" s="26"/>
      <c r="CG125" s="258" t="s">
        <v>126</v>
      </c>
      <c r="CH125" s="573">
        <f t="shared" ref="CH125:CI125" si="26">1-CH124</f>
        <v>8.9999999999999969E-2</v>
      </c>
      <c r="CI125" s="573">
        <f t="shared" si="26"/>
        <v>0.14000000000000001</v>
      </c>
      <c r="CJ125" s="573">
        <f t="shared" ref="CJ125" si="27">1-CJ124</f>
        <v>0.10999999999999999</v>
      </c>
      <c r="CK125" s="573">
        <f t="shared" ref="CK125:CM125" si="28">1-CK124</f>
        <v>5.0000000000000044E-2</v>
      </c>
      <c r="CL125" s="573">
        <f t="shared" si="28"/>
        <v>6.5999999999999948E-2</v>
      </c>
      <c r="CM125" s="573">
        <f t="shared" si="28"/>
        <v>5.0000000000000044E-2</v>
      </c>
      <c r="CZ125" s="536"/>
      <c r="DA125" s="537"/>
      <c r="DB125" s="537"/>
      <c r="DC125" s="537"/>
      <c r="DD125" s="537"/>
      <c r="DE125" s="537"/>
      <c r="DF125" s="537"/>
      <c r="DG125" s="537"/>
      <c r="DH125" s="537"/>
      <c r="DI125" s="537"/>
      <c r="DJ125" s="537"/>
      <c r="DK125" s="537"/>
      <c r="DL125" s="537"/>
      <c r="DM125" s="537"/>
      <c r="DN125" s="537"/>
      <c r="DO125" s="537"/>
      <c r="DP125" s="537"/>
      <c r="DQ125" s="537"/>
      <c r="DR125" s="537"/>
      <c r="DS125" s="537"/>
      <c r="DT125" s="537"/>
      <c r="DU125" s="537"/>
      <c r="DV125" s="537"/>
      <c r="DW125" s="537"/>
      <c r="DX125" s="537"/>
      <c r="DY125" s="537"/>
      <c r="DZ125" s="537"/>
      <c r="EA125" s="537"/>
      <c r="EB125" s="537"/>
      <c r="EC125" s="537"/>
      <c r="ED125" s="537"/>
      <c r="EE125" s="537"/>
      <c r="EF125" s="537"/>
      <c r="EG125" s="537"/>
      <c r="EH125" s="537"/>
      <c r="EI125" s="537"/>
      <c r="EJ125" s="537"/>
      <c r="EK125" s="537"/>
      <c r="EL125" s="537"/>
      <c r="EM125" s="537"/>
      <c r="EN125" s="537"/>
      <c r="EO125" s="537"/>
      <c r="EP125" s="537"/>
      <c r="EQ125" s="537"/>
      <c r="ER125" s="537"/>
      <c r="ES125" s="537"/>
      <c r="ET125" s="537"/>
      <c r="EU125" s="537"/>
      <c r="EV125" s="537"/>
      <c r="EW125" s="537"/>
      <c r="EX125" s="537"/>
      <c r="EY125" s="537"/>
      <c r="EZ125" s="537"/>
      <c r="FA125" s="537"/>
      <c r="FB125" s="537"/>
      <c r="FC125" s="537"/>
      <c r="FD125" s="537"/>
      <c r="FE125" s="537"/>
      <c r="FF125" s="537"/>
      <c r="FG125" s="537"/>
      <c r="FH125" s="537"/>
      <c r="FI125" s="537"/>
      <c r="FJ125" s="537"/>
      <c r="FK125" s="537"/>
      <c r="FL125" s="537"/>
      <c r="FM125" s="537"/>
      <c r="FN125" s="537"/>
      <c r="FO125" s="537"/>
      <c r="FP125" s="537"/>
      <c r="FQ125" s="537"/>
      <c r="FR125" s="537"/>
      <c r="FS125" s="537"/>
      <c r="FT125" s="537"/>
      <c r="FU125" s="537"/>
      <c r="FV125" s="537"/>
      <c r="FW125" s="537"/>
      <c r="FX125" s="537"/>
      <c r="FY125" s="537"/>
      <c r="FZ125" s="537"/>
      <c r="GA125" s="537"/>
      <c r="GB125" s="537"/>
      <c r="GC125" s="537"/>
      <c r="GD125" s="537"/>
      <c r="GE125" s="537"/>
      <c r="GF125" s="537"/>
      <c r="GG125" s="537"/>
      <c r="GH125" s="537"/>
      <c r="GI125" s="537"/>
      <c r="GJ125" s="537"/>
      <c r="GK125" s="537"/>
      <c r="GL125" s="537"/>
      <c r="GM125" s="537"/>
      <c r="GN125" s="537"/>
      <c r="GO125" s="537"/>
      <c r="GP125" s="537"/>
      <c r="GQ125" s="537"/>
      <c r="GR125" s="537"/>
      <c r="GS125" s="537"/>
      <c r="GT125" s="537"/>
      <c r="GU125" s="537"/>
      <c r="GV125" s="537"/>
      <c r="GW125" s="537"/>
      <c r="GX125" s="537"/>
      <c r="GY125" s="537"/>
      <c r="GZ125" s="537"/>
      <c r="HA125" s="537"/>
      <c r="HB125" s="537"/>
      <c r="HC125" s="537"/>
      <c r="HD125" s="537"/>
      <c r="HE125" s="537"/>
      <c r="HF125" s="537"/>
      <c r="HG125" s="537"/>
      <c r="HH125" s="537"/>
      <c r="HI125" s="537"/>
      <c r="HJ125" s="537"/>
      <c r="HK125" s="537"/>
      <c r="HL125" s="537"/>
      <c r="HM125" s="537"/>
      <c r="HN125" s="537"/>
      <c r="HO125" s="537"/>
      <c r="HP125" s="537"/>
      <c r="HQ125" s="537"/>
      <c r="HR125" s="537"/>
      <c r="HS125" s="537"/>
      <c r="HT125" s="537"/>
      <c r="HU125" s="537"/>
      <c r="HV125" s="537"/>
      <c r="HW125" s="537"/>
      <c r="HX125" s="537"/>
      <c r="HY125" s="537"/>
      <c r="HZ125" s="537"/>
      <c r="IA125" s="537"/>
      <c r="IB125" s="537"/>
      <c r="IC125" s="537"/>
      <c r="ID125" s="537"/>
      <c r="IE125" s="537"/>
      <c r="IF125" s="537"/>
      <c r="IG125" s="537"/>
      <c r="IH125" s="537"/>
      <c r="II125" s="537"/>
      <c r="IJ125" s="537"/>
      <c r="IK125" s="537"/>
      <c r="IL125" s="537"/>
      <c r="IM125" s="537"/>
      <c r="IN125" s="537"/>
      <c r="IO125" s="537"/>
      <c r="IP125" s="537"/>
      <c r="IQ125" s="537"/>
      <c r="IR125" s="537"/>
      <c r="IS125" s="537"/>
      <c r="IT125" s="537"/>
      <c r="IU125" s="537"/>
      <c r="IV125" s="537"/>
      <c r="IW125" s="537"/>
      <c r="IX125" s="537"/>
      <c r="IY125" s="537"/>
      <c r="IZ125" s="537"/>
      <c r="JA125" s="537"/>
      <c r="JB125" s="537"/>
      <c r="JC125" s="537"/>
      <c r="JD125" s="537"/>
      <c r="JE125" s="537"/>
      <c r="JF125" s="537"/>
      <c r="JG125" s="537"/>
      <c r="JH125" s="537"/>
      <c r="JI125" s="537"/>
      <c r="JJ125" s="537"/>
      <c r="JK125" s="537"/>
      <c r="JL125" s="537"/>
      <c r="JM125" s="537"/>
      <c r="JN125" s="537"/>
      <c r="JO125" s="537"/>
      <c r="JP125" s="537"/>
      <c r="JQ125" s="537"/>
      <c r="JR125" s="537"/>
      <c r="JS125" s="537"/>
      <c r="JT125" s="537"/>
      <c r="JU125" s="537"/>
      <c r="JV125" s="537"/>
      <c r="JW125" s="537"/>
      <c r="JX125" s="537"/>
      <c r="JY125" s="537"/>
      <c r="JZ125" s="537"/>
      <c r="KA125" s="537"/>
      <c r="KB125" s="537"/>
      <c r="KC125" s="537"/>
      <c r="KD125" s="537"/>
      <c r="KE125" s="537"/>
      <c r="KF125" s="537"/>
      <c r="KG125" s="537"/>
      <c r="KH125" s="537"/>
      <c r="KI125" s="537"/>
      <c r="KJ125" s="537"/>
      <c r="KK125" s="537"/>
      <c r="KL125" s="537"/>
      <c r="KM125" s="537"/>
      <c r="KN125" s="537"/>
      <c r="KO125" s="537"/>
      <c r="KP125" s="537"/>
      <c r="KQ125" s="537"/>
      <c r="KR125" s="537"/>
      <c r="KS125" s="537"/>
      <c r="KT125" s="537"/>
      <c r="KU125" s="537"/>
      <c r="KV125" s="537"/>
      <c r="KW125" s="537"/>
      <c r="KX125" s="537"/>
      <c r="KY125" s="537"/>
      <c r="KZ125" s="537"/>
      <c r="LA125" s="537"/>
      <c r="LB125" s="537"/>
      <c r="LC125" s="537"/>
      <c r="LD125" s="537"/>
      <c r="LE125" s="537"/>
      <c r="LF125" s="537"/>
      <c r="LG125" s="537"/>
      <c r="LH125" s="537"/>
      <c r="LI125" s="537"/>
      <c r="LJ125" s="537"/>
      <c r="LK125" s="537"/>
      <c r="LL125" s="537"/>
      <c r="LM125" s="537"/>
      <c r="LN125" s="537"/>
      <c r="LO125" s="537"/>
      <c r="LP125" s="537"/>
      <c r="LQ125" s="537"/>
      <c r="LR125" s="537"/>
      <c r="LS125" s="537"/>
      <c r="LT125" s="537"/>
      <c r="LU125" s="537"/>
      <c r="LV125" s="537"/>
      <c r="LW125" s="537"/>
      <c r="LX125" s="537"/>
      <c r="LY125" s="537"/>
      <c r="LZ125" s="537"/>
      <c r="MA125" s="537"/>
      <c r="MB125" s="537"/>
      <c r="MC125" s="537"/>
      <c r="MD125" s="537"/>
      <c r="ME125" s="537"/>
      <c r="MF125" s="537"/>
      <c r="MG125" s="537"/>
      <c r="MH125" s="537"/>
      <c r="MI125" s="538"/>
      <c r="MJ125" s="537"/>
      <c r="MK125" s="537"/>
      <c r="ML125" s="537"/>
      <c r="MM125" s="537"/>
      <c r="MN125" s="537"/>
      <c r="MO125" s="537"/>
      <c r="MP125" s="537"/>
      <c r="MQ125" s="537"/>
      <c r="MR125" s="537"/>
      <c r="MS125" s="537"/>
      <c r="MT125" s="537"/>
      <c r="MU125" s="537"/>
      <c r="MV125" s="537"/>
      <c r="MW125" s="537"/>
      <c r="MX125" s="537"/>
      <c r="MY125" s="537"/>
      <c r="MZ125" s="537"/>
      <c r="NA125" s="537"/>
      <c r="NB125" s="537"/>
      <c r="NC125" s="539"/>
      <c r="ND125" s="539"/>
      <c r="NE125" s="537"/>
      <c r="NF125" s="537"/>
      <c r="NG125" s="537"/>
      <c r="NH125" s="537"/>
      <c r="NI125" s="539"/>
      <c r="NJ125" s="539"/>
      <c r="NK125" s="539"/>
      <c r="NL125" s="539"/>
      <c r="NM125" s="539"/>
      <c r="NN125" s="539"/>
      <c r="NO125" s="539"/>
      <c r="NP125" s="539"/>
      <c r="NQ125" s="539"/>
      <c r="NR125" s="539"/>
      <c r="NS125" s="539"/>
      <c r="NT125" s="539"/>
      <c r="NU125" s="539"/>
      <c r="NV125" s="539"/>
      <c r="NW125" s="539"/>
      <c r="NX125" s="539"/>
      <c r="NY125" s="568"/>
      <c r="NZ125" s="568"/>
      <c r="OA125" s="575"/>
      <c r="OB125" s="575"/>
      <c r="OC125" s="578"/>
      <c r="OD125" s="578"/>
    </row>
    <row r="126" spans="1:394" s="20" customFormat="1" ht="12" customHeight="1">
      <c r="D126" s="82"/>
      <c r="E126" s="82"/>
      <c r="F126" s="82"/>
      <c r="G126" s="44"/>
      <c r="H126" s="67"/>
      <c r="K126" s="17"/>
      <c r="L126" s="17"/>
      <c r="O126" s="17"/>
      <c r="Z126" s="17"/>
      <c r="AL126" s="17"/>
      <c r="AN126" s="17"/>
      <c r="AO126" s="17"/>
      <c r="BC126" s="15"/>
      <c r="BD126" s="15"/>
      <c r="BE126" s="15"/>
      <c r="BF126" s="15"/>
      <c r="BG126" s="15"/>
      <c r="BH126" s="15"/>
      <c r="BI126" s="15"/>
      <c r="BJ126" s="15"/>
      <c r="BK126" s="15"/>
      <c r="BL126" s="15"/>
      <c r="BZ126" s="60"/>
      <c r="CB126" s="292"/>
      <c r="CF126" s="55" t="s">
        <v>26</v>
      </c>
      <c r="CG126" s="123" t="s">
        <v>57</v>
      </c>
      <c r="CH126" s="570">
        <v>0.73</v>
      </c>
      <c r="CI126" s="570">
        <v>0.71</v>
      </c>
      <c r="CJ126" s="570">
        <v>0.63</v>
      </c>
      <c r="CK126" s="570">
        <v>0.61</v>
      </c>
      <c r="CL126" s="570">
        <v>0.6</v>
      </c>
      <c r="CM126" s="570">
        <v>0.77</v>
      </c>
      <c r="EG126" s="292"/>
      <c r="EH126" s="292"/>
      <c r="EI126" s="292"/>
      <c r="EJ126" s="292"/>
      <c r="EK126" s="292"/>
      <c r="EL126" s="292"/>
      <c r="EM126" s="292"/>
      <c r="EN126" s="292"/>
      <c r="EO126" s="292"/>
      <c r="EP126" s="292"/>
      <c r="EQ126" s="292"/>
      <c r="ER126" s="292"/>
      <c r="ES126" s="292"/>
      <c r="ET126" s="292"/>
      <c r="EU126" s="292"/>
      <c r="EV126" s="292"/>
      <c r="EW126" s="292"/>
      <c r="EX126" s="292"/>
      <c r="FA126" s="292"/>
      <c r="FB126" s="292"/>
      <c r="FC126" s="292"/>
      <c r="FD126" s="292"/>
      <c r="FE126" s="292"/>
      <c r="FF126" s="292"/>
      <c r="FG126" s="292"/>
      <c r="FH126" s="292"/>
      <c r="FI126" s="292"/>
      <c r="FJ126" s="292"/>
      <c r="FK126" s="292"/>
      <c r="FL126" s="292"/>
      <c r="FM126" s="292"/>
      <c r="FN126" s="292"/>
      <c r="FO126" s="292"/>
      <c r="FP126" s="292"/>
      <c r="FQ126" s="292"/>
      <c r="FR126" s="292"/>
      <c r="FS126" s="292"/>
      <c r="FT126" s="292"/>
      <c r="FU126" s="292"/>
      <c r="FV126" s="292"/>
      <c r="FW126" s="292"/>
      <c r="FX126" s="292"/>
      <c r="FY126" s="292"/>
      <c r="FZ126" s="292"/>
      <c r="GA126" s="292"/>
      <c r="GB126" s="292"/>
      <c r="GC126" s="292"/>
      <c r="GD126" s="292"/>
      <c r="GE126" s="292"/>
      <c r="GF126" s="292"/>
      <c r="GG126" s="292"/>
      <c r="GH126" s="292"/>
      <c r="GI126" s="292"/>
      <c r="GJ126" s="292"/>
      <c r="GK126" s="292"/>
      <c r="GL126" s="292"/>
      <c r="GM126" s="292"/>
      <c r="GN126" s="292"/>
      <c r="GO126" s="292"/>
      <c r="GP126" s="292"/>
      <c r="GQ126" s="292"/>
      <c r="GR126" s="292"/>
      <c r="GS126" s="292"/>
      <c r="GT126" s="292"/>
      <c r="GU126" s="292"/>
      <c r="GV126" s="292"/>
      <c r="GW126" s="292"/>
      <c r="GX126" s="292"/>
      <c r="GY126" s="292"/>
      <c r="GZ126" s="292"/>
      <c r="HA126" s="292"/>
      <c r="HB126" s="292"/>
      <c r="HC126" s="292"/>
      <c r="HD126" s="292"/>
      <c r="HE126" s="292"/>
      <c r="HF126" s="292"/>
      <c r="HG126" s="292"/>
      <c r="HH126" s="292"/>
      <c r="HI126" s="292"/>
      <c r="HJ126" s="292"/>
      <c r="HK126" s="292"/>
      <c r="HL126" s="292"/>
      <c r="HM126" s="292"/>
      <c r="HN126" s="292"/>
      <c r="HO126" s="292"/>
      <c r="HP126" s="292"/>
      <c r="HQ126" s="292"/>
      <c r="HR126" s="292"/>
      <c r="HS126" s="292"/>
      <c r="HT126" s="292"/>
      <c r="HU126" s="292"/>
      <c r="HV126" s="292"/>
      <c r="HW126" s="292"/>
      <c r="HX126" s="292"/>
      <c r="HY126" s="292"/>
      <c r="HZ126" s="292"/>
      <c r="IA126" s="292"/>
      <c r="IB126" s="292"/>
      <c r="IC126" s="292"/>
      <c r="ID126" s="292"/>
      <c r="IE126" s="292"/>
      <c r="IF126" s="292"/>
      <c r="IG126" s="292"/>
      <c r="IH126" s="292"/>
      <c r="II126" s="292"/>
      <c r="IJ126" s="292"/>
      <c r="IK126" s="292"/>
      <c r="IL126" s="292"/>
      <c r="IM126" s="292"/>
      <c r="IN126" s="292"/>
      <c r="IO126" s="292"/>
      <c r="IP126" s="292"/>
      <c r="IQ126" s="292"/>
      <c r="IR126" s="292"/>
      <c r="IS126" s="292"/>
      <c r="IT126" s="292"/>
      <c r="IU126" s="292"/>
      <c r="IV126" s="292"/>
      <c r="IW126" s="292"/>
      <c r="IX126" s="292"/>
      <c r="IY126" s="292"/>
      <c r="IZ126" s="292"/>
      <c r="JA126" s="292"/>
      <c r="JB126" s="292"/>
      <c r="JC126" s="292"/>
      <c r="JD126" s="292"/>
      <c r="JE126" s="292"/>
      <c r="JF126" s="292"/>
      <c r="JG126" s="292"/>
      <c r="JH126" s="292"/>
      <c r="JI126" s="292"/>
      <c r="JJ126" s="292"/>
      <c r="JK126" s="292"/>
      <c r="JL126" s="292"/>
      <c r="JM126" s="292"/>
      <c r="JN126" s="292"/>
      <c r="JO126" s="292"/>
      <c r="JP126" s="292"/>
      <c r="JQ126" s="292"/>
      <c r="JR126" s="292"/>
      <c r="JS126" s="292"/>
      <c r="JT126" s="292"/>
      <c r="JU126" s="292"/>
      <c r="JV126" s="292"/>
      <c r="JW126" s="292"/>
      <c r="JX126" s="292"/>
      <c r="JY126" s="292"/>
      <c r="JZ126" s="292"/>
      <c r="KA126" s="292"/>
      <c r="KB126" s="292"/>
      <c r="KC126" s="292"/>
      <c r="KD126" s="292"/>
      <c r="KE126" s="292"/>
      <c r="KF126" s="292"/>
      <c r="KG126" s="292"/>
      <c r="KH126" s="292"/>
      <c r="KI126" s="292"/>
      <c r="KJ126" s="292"/>
      <c r="KK126" s="292"/>
      <c r="KL126" s="292"/>
      <c r="KM126" s="292"/>
      <c r="KN126" s="292"/>
      <c r="KO126" s="292"/>
      <c r="KP126" s="292"/>
      <c r="KQ126" s="292"/>
      <c r="KR126" s="292"/>
      <c r="KS126" s="292"/>
      <c r="KT126" s="292"/>
      <c r="KU126" s="292"/>
      <c r="KV126" s="292"/>
      <c r="KW126" s="292"/>
      <c r="KX126" s="292"/>
      <c r="KY126" s="292"/>
      <c r="KZ126" s="292"/>
      <c r="LA126" s="292"/>
      <c r="LB126" s="292"/>
      <c r="LC126" s="292"/>
      <c r="LD126" s="292"/>
      <c r="LE126" s="292"/>
      <c r="LF126" s="292"/>
      <c r="LG126" s="292"/>
      <c r="LH126" s="292"/>
      <c r="LI126" s="292"/>
      <c r="LJ126" s="292"/>
      <c r="LK126" s="292"/>
      <c r="LL126" s="292"/>
      <c r="LM126" s="292"/>
      <c r="LN126" s="292"/>
      <c r="LO126" s="292"/>
      <c r="LP126" s="292"/>
      <c r="LQ126" s="292"/>
      <c r="LR126" s="292"/>
      <c r="LS126" s="292"/>
      <c r="LT126" s="292"/>
      <c r="LU126" s="292"/>
      <c r="LV126" s="292"/>
      <c r="LW126" s="292"/>
      <c r="LX126" s="292"/>
      <c r="LY126" s="292"/>
      <c r="LZ126" s="292"/>
      <c r="MA126" s="292"/>
      <c r="MB126" s="292"/>
      <c r="MC126" s="292"/>
      <c r="MD126" s="292"/>
      <c r="ME126" s="292"/>
      <c r="MF126" s="292"/>
      <c r="MG126" s="292"/>
      <c r="MH126" s="292"/>
      <c r="MI126" s="292"/>
      <c r="MJ126" s="292"/>
      <c r="MK126" s="292"/>
      <c r="ML126" s="292"/>
      <c r="MM126" s="292"/>
      <c r="MN126" s="292"/>
      <c r="MO126" s="292"/>
      <c r="MP126" s="292"/>
      <c r="MQ126" s="292"/>
      <c r="MR126" s="292"/>
      <c r="MS126" s="292"/>
      <c r="MT126" s="292"/>
      <c r="MU126" s="292"/>
      <c r="MV126" s="292"/>
      <c r="MW126" s="292"/>
      <c r="MX126" s="292"/>
      <c r="MY126" s="292"/>
      <c r="MZ126" s="292"/>
      <c r="NA126" s="292"/>
      <c r="NB126" s="292"/>
      <c r="NC126" s="292"/>
      <c r="ND126" s="292"/>
      <c r="NE126" s="292"/>
      <c r="NF126" s="292"/>
      <c r="NG126" s="292"/>
      <c r="NH126" s="292"/>
      <c r="NI126" s="292"/>
      <c r="NJ126" s="292"/>
      <c r="NK126" s="292"/>
      <c r="NL126" s="292"/>
      <c r="NM126" s="292"/>
      <c r="NN126" s="292"/>
      <c r="NO126" s="292"/>
      <c r="NP126" s="292"/>
      <c r="NQ126" s="292"/>
      <c r="NR126" s="292"/>
      <c r="NS126" s="292"/>
      <c r="NT126" s="292"/>
      <c r="NU126" s="292"/>
      <c r="NV126" s="292"/>
      <c r="NW126" s="292"/>
      <c r="NX126" s="292"/>
      <c r="NY126" s="568"/>
      <c r="NZ126" s="568"/>
      <c r="OA126" s="575"/>
      <c r="OB126" s="575"/>
      <c r="OC126" s="578"/>
      <c r="OD126" s="578"/>
    </row>
    <row r="127" spans="1:394" s="20" customFormat="1" ht="12" customHeight="1">
      <c r="D127" s="82"/>
      <c r="E127" s="82"/>
      <c r="F127" s="82"/>
      <c r="G127" s="73"/>
      <c r="H127" s="67"/>
      <c r="K127" s="17"/>
      <c r="L127" s="17"/>
      <c r="O127" s="17"/>
      <c r="Z127" s="17"/>
      <c r="AL127" s="17"/>
      <c r="AN127" s="17"/>
      <c r="AO127" s="17"/>
      <c r="BC127" s="15"/>
      <c r="BD127" s="15"/>
      <c r="BE127" s="15"/>
      <c r="BF127" s="15"/>
      <c r="BG127" s="15"/>
      <c r="BH127" s="15"/>
      <c r="BI127" s="15"/>
      <c r="BJ127" s="15"/>
      <c r="BK127" s="15"/>
      <c r="BL127" s="15"/>
      <c r="BZ127" s="60"/>
      <c r="CB127" s="292"/>
      <c r="CF127" s="55"/>
      <c r="CG127" s="122" t="s">
        <v>58</v>
      </c>
      <c r="CH127" s="571">
        <v>0.15</v>
      </c>
      <c r="CI127" s="571">
        <v>0.17</v>
      </c>
      <c r="CJ127" s="571">
        <v>0.26</v>
      </c>
      <c r="CK127" s="571">
        <v>0.27</v>
      </c>
      <c r="CL127" s="571">
        <v>0.27</v>
      </c>
      <c r="CM127" s="571">
        <v>0.13</v>
      </c>
      <c r="EG127" s="292"/>
      <c r="EH127" s="292"/>
      <c r="EI127" s="292"/>
      <c r="EJ127" s="292"/>
      <c r="EK127" s="292"/>
      <c r="EL127" s="292"/>
      <c r="EM127" s="292"/>
      <c r="EN127" s="292"/>
      <c r="EO127" s="292"/>
      <c r="EP127" s="292"/>
      <c r="EQ127" s="292"/>
      <c r="ER127" s="292"/>
      <c r="ES127" s="292"/>
      <c r="ET127" s="292"/>
      <c r="EU127" s="292"/>
      <c r="EV127" s="292"/>
      <c r="EW127" s="292"/>
      <c r="EX127" s="292"/>
      <c r="FA127" s="292"/>
      <c r="FB127" s="292"/>
      <c r="FC127" s="292"/>
      <c r="FD127" s="292"/>
      <c r="FE127" s="292"/>
      <c r="FF127" s="292"/>
      <c r="FG127" s="292"/>
      <c r="FH127" s="292"/>
      <c r="FI127" s="292"/>
      <c r="FJ127" s="292"/>
      <c r="FK127" s="292"/>
      <c r="FL127" s="292"/>
      <c r="FM127" s="292"/>
      <c r="FN127" s="292"/>
      <c r="FO127" s="292"/>
      <c r="FP127" s="292"/>
      <c r="FQ127" s="292"/>
      <c r="FR127" s="292"/>
      <c r="FS127" s="292"/>
      <c r="FT127" s="292"/>
      <c r="FU127" s="292"/>
      <c r="FV127" s="292"/>
      <c r="FW127" s="292"/>
      <c r="FX127" s="292"/>
      <c r="FY127" s="292"/>
      <c r="FZ127" s="292"/>
      <c r="GA127" s="292"/>
      <c r="GB127" s="292"/>
      <c r="GC127" s="292"/>
      <c r="GD127" s="292"/>
      <c r="GE127" s="292"/>
      <c r="GF127" s="292"/>
      <c r="GG127" s="292"/>
      <c r="GH127" s="292"/>
      <c r="GI127" s="292"/>
      <c r="GJ127" s="292"/>
      <c r="GK127" s="292"/>
      <c r="GL127" s="292"/>
      <c r="GM127" s="292"/>
      <c r="GN127" s="292"/>
      <c r="GO127" s="292"/>
      <c r="GP127" s="292"/>
      <c r="GQ127" s="292"/>
      <c r="GR127" s="292"/>
      <c r="GS127" s="292"/>
      <c r="GT127" s="292"/>
      <c r="GU127" s="292"/>
      <c r="GV127" s="292"/>
      <c r="GW127" s="292"/>
      <c r="GX127" s="292"/>
      <c r="GY127" s="292"/>
      <c r="GZ127" s="292"/>
      <c r="HA127" s="292"/>
      <c r="HB127" s="292"/>
      <c r="HC127" s="292"/>
      <c r="HD127" s="292"/>
      <c r="HE127" s="292"/>
      <c r="HF127" s="292"/>
      <c r="HG127" s="292"/>
      <c r="HH127" s="292"/>
      <c r="HI127" s="292"/>
      <c r="HJ127" s="292"/>
      <c r="HK127" s="292"/>
      <c r="HL127" s="292"/>
      <c r="HM127" s="292"/>
      <c r="HN127" s="292"/>
      <c r="HO127" s="292"/>
      <c r="HP127" s="292"/>
      <c r="HQ127" s="292"/>
      <c r="HR127" s="292"/>
      <c r="HS127" s="292"/>
      <c r="HT127" s="292"/>
      <c r="HU127" s="292"/>
      <c r="HV127" s="292"/>
      <c r="HW127" s="292"/>
      <c r="HX127" s="292"/>
      <c r="HY127" s="292"/>
      <c r="HZ127" s="292"/>
      <c r="IA127" s="292"/>
      <c r="IB127" s="292"/>
      <c r="IC127" s="292"/>
      <c r="ID127" s="292"/>
      <c r="IE127" s="292"/>
      <c r="IF127" s="292"/>
      <c r="IG127" s="292"/>
      <c r="IH127" s="292"/>
      <c r="II127" s="292"/>
      <c r="IJ127" s="292"/>
      <c r="IK127" s="292"/>
      <c r="IL127" s="292"/>
      <c r="IM127" s="292"/>
      <c r="IN127" s="292"/>
      <c r="IO127" s="292"/>
      <c r="IP127" s="292"/>
      <c r="IQ127" s="292"/>
      <c r="IR127" s="292"/>
      <c r="IS127" s="292"/>
      <c r="IT127" s="292"/>
      <c r="IU127" s="292"/>
      <c r="IV127" s="292"/>
      <c r="IW127" s="292"/>
      <c r="IX127" s="292"/>
      <c r="IY127" s="292"/>
      <c r="IZ127" s="292"/>
      <c r="JA127" s="292"/>
      <c r="JB127" s="292"/>
      <c r="JC127" s="292"/>
      <c r="JD127" s="292"/>
      <c r="JE127" s="292"/>
      <c r="JF127" s="292"/>
      <c r="JG127" s="292"/>
      <c r="JH127" s="292"/>
      <c r="JI127" s="292"/>
      <c r="JJ127" s="292"/>
      <c r="JK127" s="292"/>
      <c r="JL127" s="292"/>
      <c r="JM127" s="292"/>
      <c r="JN127" s="292"/>
      <c r="JO127" s="292"/>
      <c r="JP127" s="292"/>
      <c r="JQ127" s="292"/>
      <c r="JR127" s="292"/>
      <c r="JS127" s="292"/>
      <c r="JT127" s="292"/>
      <c r="JU127" s="292"/>
      <c r="JV127" s="292"/>
      <c r="JW127" s="292"/>
      <c r="JX127" s="292"/>
      <c r="JY127" s="292"/>
      <c r="JZ127" s="292"/>
      <c r="KA127" s="292"/>
      <c r="KB127" s="292"/>
      <c r="KC127" s="292"/>
      <c r="KD127" s="292"/>
      <c r="KE127" s="292"/>
      <c r="KF127" s="292"/>
      <c r="KG127" s="292"/>
      <c r="KH127" s="292"/>
      <c r="KI127" s="292"/>
      <c r="KJ127" s="292"/>
      <c r="KK127" s="292"/>
      <c r="KL127" s="292"/>
      <c r="KM127" s="292"/>
      <c r="KN127" s="292"/>
      <c r="KO127" s="292"/>
      <c r="KP127" s="292"/>
      <c r="KQ127" s="292"/>
      <c r="KR127" s="292"/>
      <c r="KS127" s="292"/>
      <c r="KT127" s="292"/>
      <c r="KU127" s="292"/>
      <c r="KV127" s="292"/>
      <c r="KW127" s="292"/>
      <c r="KX127" s="292"/>
      <c r="KY127" s="292"/>
      <c r="KZ127" s="292"/>
      <c r="LA127" s="292"/>
      <c r="LB127" s="292"/>
      <c r="LC127" s="292"/>
      <c r="LD127" s="292"/>
      <c r="LE127" s="292"/>
      <c r="LF127" s="292"/>
      <c r="LG127" s="292"/>
      <c r="LH127" s="292"/>
      <c r="LI127" s="292"/>
      <c r="LJ127" s="292"/>
      <c r="LK127" s="292"/>
      <c r="LL127" s="292"/>
      <c r="LM127" s="292"/>
      <c r="LN127" s="292"/>
      <c r="LO127" s="292"/>
      <c r="LP127" s="292"/>
      <c r="LQ127" s="292"/>
      <c r="LR127" s="292"/>
      <c r="LS127" s="292"/>
      <c r="LT127" s="292"/>
      <c r="LU127" s="292"/>
      <c r="LV127" s="292"/>
      <c r="LW127" s="292"/>
      <c r="LX127" s="292"/>
      <c r="LY127" s="292"/>
      <c r="LZ127" s="292"/>
      <c r="MA127" s="292"/>
      <c r="MB127" s="292"/>
      <c r="MC127" s="292"/>
      <c r="MD127" s="292"/>
      <c r="ME127" s="292"/>
      <c r="MF127" s="292"/>
      <c r="MG127" s="292"/>
      <c r="MH127" s="292"/>
      <c r="MI127" s="292"/>
      <c r="MJ127" s="292"/>
      <c r="MK127" s="292"/>
      <c r="ML127" s="292"/>
      <c r="MM127" s="292"/>
      <c r="MN127" s="292"/>
      <c r="MO127" s="292"/>
      <c r="MP127" s="292"/>
      <c r="MQ127" s="292"/>
      <c r="MR127" s="292"/>
      <c r="MS127" s="292"/>
      <c r="MT127" s="292"/>
      <c r="MU127" s="292"/>
      <c r="MV127" s="292"/>
      <c r="MW127" s="292"/>
      <c r="MX127" s="292"/>
      <c r="MY127" s="292"/>
      <c r="MZ127" s="292"/>
      <c r="NA127" s="292"/>
      <c r="NB127" s="292"/>
      <c r="NC127" s="292"/>
      <c r="ND127" s="292"/>
      <c r="NE127" s="292"/>
      <c r="NF127" s="292"/>
      <c r="NG127" s="292"/>
      <c r="NH127" s="292"/>
      <c r="NI127" s="292"/>
      <c r="NJ127" s="292"/>
      <c r="NK127" s="292"/>
      <c r="NL127" s="292"/>
      <c r="NM127" s="292"/>
      <c r="NN127" s="292"/>
      <c r="NO127" s="292"/>
      <c r="NP127" s="292"/>
      <c r="NQ127" s="292"/>
      <c r="NR127" s="292"/>
      <c r="NS127" s="292"/>
      <c r="NT127" s="292"/>
      <c r="NU127" s="292"/>
      <c r="NV127" s="292"/>
      <c r="NW127" s="292"/>
      <c r="NX127" s="292"/>
      <c r="NY127" s="568"/>
      <c r="NZ127" s="568"/>
      <c r="OA127" s="575"/>
      <c r="OB127" s="575"/>
      <c r="OC127" s="578"/>
      <c r="OD127" s="578"/>
    </row>
    <row r="128" spans="1:394" s="292" customFormat="1" ht="12.75" customHeight="1">
      <c r="D128" s="82"/>
      <c r="E128" s="82"/>
      <c r="F128" s="82"/>
      <c r="G128" s="73"/>
      <c r="H128" s="67"/>
      <c r="K128" s="291"/>
      <c r="L128" s="291"/>
      <c r="O128" s="291"/>
      <c r="Z128" s="291"/>
      <c r="AL128" s="291"/>
      <c r="AN128" s="291"/>
      <c r="AO128" s="291"/>
      <c r="BC128" s="290"/>
      <c r="BD128" s="290"/>
      <c r="BE128" s="290"/>
      <c r="BF128" s="290"/>
      <c r="BG128" s="290"/>
      <c r="BH128" s="290"/>
      <c r="BI128" s="290"/>
      <c r="BJ128" s="290"/>
      <c r="BK128" s="290"/>
      <c r="BL128" s="290"/>
      <c r="BZ128" s="60"/>
      <c r="CF128" s="55"/>
      <c r="CG128" s="122" t="s">
        <v>62</v>
      </c>
      <c r="CH128" s="572">
        <v>0.11</v>
      </c>
      <c r="CI128" s="572">
        <v>0.11</v>
      </c>
      <c r="CJ128" s="572">
        <v>0.11</v>
      </c>
      <c r="CK128" s="572">
        <v>0.11</v>
      </c>
      <c r="CL128" s="572">
        <v>0.11</v>
      </c>
      <c r="CM128" s="572">
        <v>0.09</v>
      </c>
      <c r="NY128" s="568"/>
      <c r="NZ128" s="568"/>
      <c r="OA128" s="575"/>
      <c r="OB128" s="575"/>
      <c r="OC128" s="578"/>
      <c r="OD128" s="578"/>
    </row>
    <row r="129" spans="1:399" s="20" customFormat="1" ht="12" customHeight="1">
      <c r="D129" s="82"/>
      <c r="E129" s="82"/>
      <c r="F129" s="82"/>
      <c r="G129" s="44"/>
      <c r="H129" s="67"/>
      <c r="K129" s="17"/>
      <c r="L129" s="17"/>
      <c r="O129" s="17"/>
      <c r="Z129" s="17"/>
      <c r="AL129" s="17"/>
      <c r="AN129" s="17"/>
      <c r="AO129" s="17"/>
      <c r="BC129" s="15"/>
      <c r="BD129" s="15"/>
      <c r="BE129" s="15"/>
      <c r="BF129" s="15"/>
      <c r="BG129" s="15"/>
      <c r="BH129" s="15"/>
      <c r="BI129" s="15"/>
      <c r="BJ129" s="15"/>
      <c r="BK129" s="15"/>
      <c r="BL129" s="15"/>
      <c r="BZ129" s="60"/>
      <c r="CB129" s="292"/>
      <c r="CF129" s="269"/>
      <c r="CG129" s="258" t="s">
        <v>68</v>
      </c>
      <c r="CH129" s="572">
        <v>0.01</v>
      </c>
      <c r="CI129" s="572">
        <v>0.01</v>
      </c>
      <c r="CJ129" s="572">
        <v>0.01</v>
      </c>
      <c r="CK129" s="572">
        <v>0.01</v>
      </c>
      <c r="CL129" s="572">
        <v>0.02</v>
      </c>
      <c r="CM129" s="572">
        <v>0.01</v>
      </c>
      <c r="EG129" s="292"/>
      <c r="EH129" s="292"/>
      <c r="EI129" s="292"/>
      <c r="EJ129" s="292"/>
      <c r="EK129" s="292"/>
      <c r="EL129" s="292"/>
      <c r="EM129" s="292"/>
      <c r="EN129" s="292"/>
      <c r="EO129" s="292"/>
      <c r="EP129" s="292"/>
      <c r="EQ129" s="292"/>
      <c r="ER129" s="292"/>
      <c r="ES129" s="292"/>
      <c r="ET129" s="292"/>
      <c r="EU129" s="292"/>
      <c r="EV129" s="292"/>
      <c r="EW129" s="292"/>
      <c r="EX129" s="292"/>
      <c r="FA129" s="292"/>
      <c r="FB129" s="292"/>
      <c r="FC129" s="292"/>
      <c r="FD129" s="292"/>
      <c r="FE129" s="292"/>
      <c r="FF129" s="292"/>
      <c r="FG129" s="292"/>
      <c r="FH129" s="292"/>
      <c r="FI129" s="292"/>
      <c r="FJ129" s="292"/>
      <c r="FK129" s="292"/>
      <c r="FL129" s="292"/>
      <c r="FM129" s="292"/>
      <c r="FN129" s="292"/>
      <c r="FO129" s="292"/>
      <c r="FP129" s="292"/>
      <c r="FQ129" s="292"/>
      <c r="FR129" s="292"/>
      <c r="FS129" s="292"/>
      <c r="FT129" s="292"/>
      <c r="FU129" s="292"/>
      <c r="FV129" s="292"/>
      <c r="FW129" s="292"/>
      <c r="FX129" s="292"/>
      <c r="FY129" s="292"/>
      <c r="FZ129" s="292"/>
      <c r="GA129" s="292"/>
      <c r="GB129" s="292"/>
      <c r="GC129" s="292"/>
      <c r="GD129" s="292"/>
      <c r="GE129" s="292"/>
      <c r="GF129" s="292"/>
      <c r="GG129" s="292"/>
      <c r="GH129" s="292"/>
      <c r="GI129" s="292"/>
      <c r="GJ129" s="292"/>
      <c r="GK129" s="292"/>
      <c r="GL129" s="292"/>
      <c r="GM129" s="292"/>
      <c r="GN129" s="292"/>
      <c r="GO129" s="292"/>
      <c r="GP129" s="292"/>
      <c r="GQ129" s="292"/>
      <c r="GR129" s="292"/>
      <c r="GS129" s="292"/>
      <c r="GT129" s="292"/>
      <c r="GU129" s="292"/>
      <c r="GV129" s="292"/>
      <c r="GW129" s="292"/>
      <c r="GX129" s="292"/>
      <c r="GY129" s="292"/>
      <c r="GZ129" s="292"/>
      <c r="HA129" s="292"/>
      <c r="HB129" s="292"/>
      <c r="HC129" s="292"/>
      <c r="HD129" s="292"/>
      <c r="HE129" s="292"/>
      <c r="HF129" s="292"/>
      <c r="HG129" s="292"/>
      <c r="HH129" s="292"/>
      <c r="HI129" s="292"/>
      <c r="HJ129" s="292"/>
      <c r="HK129" s="292"/>
      <c r="HL129" s="292"/>
      <c r="HM129" s="292"/>
      <c r="HN129" s="292"/>
      <c r="HO129" s="292"/>
      <c r="HP129" s="292"/>
      <c r="HQ129" s="292"/>
      <c r="HR129" s="292"/>
      <c r="HS129" s="292"/>
      <c r="HT129" s="292"/>
      <c r="HU129" s="292"/>
      <c r="HV129" s="292"/>
      <c r="HW129" s="292"/>
      <c r="HX129" s="292"/>
      <c r="HY129" s="292"/>
      <c r="HZ129" s="292"/>
      <c r="IA129" s="292"/>
      <c r="IB129" s="292"/>
      <c r="IC129" s="292"/>
      <c r="ID129" s="292"/>
      <c r="IE129" s="292"/>
      <c r="IF129" s="292"/>
      <c r="IG129" s="292"/>
      <c r="IH129" s="292"/>
      <c r="II129" s="292"/>
      <c r="IJ129" s="292"/>
      <c r="IK129" s="292"/>
      <c r="IL129" s="292"/>
      <c r="IM129" s="292"/>
      <c r="IN129" s="292"/>
      <c r="IO129" s="292"/>
      <c r="IP129" s="292"/>
      <c r="IQ129" s="292"/>
      <c r="IR129" s="292"/>
      <c r="IS129" s="292"/>
      <c r="IT129" s="292"/>
      <c r="IU129" s="292"/>
      <c r="IV129" s="292"/>
      <c r="IW129" s="292"/>
      <c r="IX129" s="292"/>
      <c r="IY129" s="292"/>
      <c r="IZ129" s="292"/>
      <c r="JA129" s="292"/>
      <c r="JB129" s="292"/>
      <c r="JC129" s="292"/>
      <c r="JD129" s="292"/>
      <c r="JE129" s="292"/>
      <c r="JF129" s="292"/>
      <c r="JG129" s="292"/>
      <c r="JH129" s="292"/>
      <c r="JI129" s="292"/>
      <c r="JJ129" s="292"/>
      <c r="JK129" s="292"/>
      <c r="JL129" s="292"/>
      <c r="JM129" s="292"/>
      <c r="JN129" s="292"/>
      <c r="JO129" s="292"/>
      <c r="JP129" s="292"/>
      <c r="JQ129" s="292"/>
      <c r="JR129" s="292"/>
      <c r="JS129" s="292"/>
      <c r="JT129" s="292"/>
      <c r="JU129" s="292"/>
      <c r="JV129" s="292"/>
      <c r="JW129" s="292"/>
      <c r="JX129" s="292"/>
      <c r="JY129" s="292"/>
      <c r="JZ129" s="292"/>
      <c r="KA129" s="292"/>
      <c r="KB129" s="292"/>
      <c r="KC129" s="292"/>
      <c r="KD129" s="292"/>
      <c r="KE129" s="292"/>
      <c r="KF129" s="292"/>
      <c r="KG129" s="292"/>
      <c r="KH129" s="292"/>
      <c r="KI129" s="292"/>
      <c r="KJ129" s="292"/>
      <c r="KK129" s="292"/>
      <c r="KL129" s="292"/>
      <c r="KM129" s="292"/>
      <c r="KN129" s="292"/>
      <c r="KO129" s="292"/>
      <c r="KP129" s="292"/>
      <c r="KQ129" s="292"/>
      <c r="KR129" s="292"/>
      <c r="KS129" s="292"/>
      <c r="KT129" s="292"/>
      <c r="KU129" s="292"/>
      <c r="KV129" s="292"/>
      <c r="KW129" s="292"/>
      <c r="KX129" s="292"/>
      <c r="KY129" s="292"/>
      <c r="KZ129" s="292"/>
      <c r="LA129" s="292"/>
      <c r="LB129" s="292"/>
      <c r="LC129" s="292"/>
      <c r="LD129" s="292"/>
      <c r="LE129" s="292"/>
      <c r="LF129" s="292"/>
      <c r="LG129" s="292"/>
      <c r="LH129" s="292"/>
      <c r="LI129" s="292"/>
      <c r="LJ129" s="292"/>
      <c r="LK129" s="292"/>
      <c r="LL129" s="292"/>
      <c r="LM129" s="292"/>
      <c r="LN129" s="292"/>
      <c r="LO129" s="292"/>
      <c r="LP129" s="292"/>
      <c r="LQ129" s="292"/>
      <c r="LR129" s="292"/>
      <c r="LS129" s="292"/>
      <c r="LT129" s="292"/>
      <c r="LU129" s="292"/>
      <c r="LV129" s="292"/>
      <c r="LW129" s="292"/>
      <c r="LX129" s="292"/>
      <c r="LY129" s="292"/>
      <c r="LZ129" s="292"/>
      <c r="MA129" s="292"/>
      <c r="MB129" s="292"/>
      <c r="MC129" s="292"/>
      <c r="MD129" s="292"/>
      <c r="ME129" s="292"/>
      <c r="MF129" s="292"/>
      <c r="MG129" s="292"/>
      <c r="MH129" s="292"/>
      <c r="MI129" s="292"/>
      <c r="MJ129" s="292"/>
      <c r="MK129" s="292"/>
      <c r="ML129" s="292"/>
      <c r="MM129" s="292"/>
      <c r="MN129" s="292"/>
      <c r="MO129" s="292"/>
      <c r="MP129" s="292"/>
      <c r="MQ129" s="292"/>
      <c r="MR129" s="292"/>
      <c r="MS129" s="292"/>
      <c r="MT129" s="292"/>
      <c r="MU129" s="292"/>
      <c r="MV129" s="292"/>
      <c r="MW129" s="292"/>
      <c r="MX129" s="292"/>
      <c r="MY129" s="292"/>
      <c r="MZ129" s="292"/>
      <c r="NA129" s="292"/>
      <c r="NB129" s="292"/>
      <c r="NC129" s="292"/>
      <c r="ND129" s="292"/>
      <c r="NE129" s="292"/>
      <c r="NF129" s="292"/>
      <c r="NG129" s="292"/>
      <c r="NH129" s="292"/>
      <c r="NI129" s="292"/>
      <c r="NJ129" s="292"/>
      <c r="NK129" s="292"/>
      <c r="NL129" s="292"/>
      <c r="NM129" s="292"/>
      <c r="NN129" s="292"/>
      <c r="NO129" s="292"/>
      <c r="NP129" s="292"/>
      <c r="NQ129" s="292"/>
      <c r="NR129" s="292"/>
      <c r="NS129" s="292"/>
      <c r="NT129" s="292"/>
      <c r="NU129" s="292"/>
      <c r="NV129" s="292"/>
      <c r="NW129" s="292"/>
      <c r="NX129" s="292"/>
      <c r="NY129" s="568"/>
      <c r="NZ129" s="568"/>
      <c r="OA129" s="575"/>
      <c r="OB129" s="575"/>
      <c r="OC129" s="578"/>
      <c r="OD129" s="578"/>
    </row>
    <row r="130" spans="1:399" s="20" customFormat="1" ht="12" customHeight="1">
      <c r="D130" s="82"/>
      <c r="E130" s="82"/>
      <c r="F130" s="82"/>
      <c r="G130" s="44"/>
      <c r="H130" s="67"/>
      <c r="K130" s="17"/>
      <c r="L130" s="17"/>
      <c r="O130" s="17"/>
      <c r="Z130" s="17"/>
      <c r="AL130" s="17"/>
      <c r="AN130" s="17"/>
      <c r="AO130" s="17"/>
      <c r="BC130" s="15"/>
      <c r="BD130" s="15"/>
      <c r="BE130" s="15"/>
      <c r="BF130" s="15"/>
      <c r="BG130" s="15"/>
      <c r="BH130" s="15"/>
      <c r="BI130" s="15"/>
      <c r="BJ130" s="15"/>
      <c r="BK130" s="15"/>
      <c r="BL130" s="15"/>
      <c r="BZ130" s="60"/>
      <c r="CB130" s="292"/>
      <c r="CF130" s="58" t="s">
        <v>23</v>
      </c>
      <c r="CG130" s="123" t="s">
        <v>61</v>
      </c>
      <c r="CH130" s="570">
        <f t="shared" ref="CH130:CL130" si="29">1-CH131</f>
        <v>0.12</v>
      </c>
      <c r="CI130" s="570">
        <f t="shared" si="29"/>
        <v>0.12</v>
      </c>
      <c r="CJ130" s="570">
        <f t="shared" si="29"/>
        <v>0.13</v>
      </c>
      <c r="CK130" s="570">
        <f t="shared" si="29"/>
        <v>0.14000000000000001</v>
      </c>
      <c r="CL130" s="570">
        <f t="shared" si="29"/>
        <v>0.15000000000000002</v>
      </c>
      <c r="CM130" s="570">
        <f>1-CM131</f>
        <v>0.17000000000000004</v>
      </c>
      <c r="EG130" s="292"/>
      <c r="EH130" s="292"/>
      <c r="EI130" s="292"/>
      <c r="EJ130" s="292"/>
      <c r="EK130" s="292"/>
      <c r="EL130" s="292"/>
      <c r="EM130" s="292"/>
      <c r="EN130" s="292"/>
      <c r="EO130" s="292"/>
      <c r="EP130" s="292"/>
      <c r="EQ130" s="292"/>
      <c r="ER130" s="292"/>
      <c r="ES130" s="292"/>
      <c r="ET130" s="292"/>
      <c r="EU130" s="292"/>
      <c r="EV130" s="292"/>
      <c r="EW130" s="292"/>
      <c r="EX130" s="292"/>
      <c r="FA130" s="292"/>
      <c r="FB130" s="292"/>
      <c r="FC130" s="292"/>
      <c r="FD130" s="292"/>
      <c r="FE130" s="292"/>
      <c r="FF130" s="292"/>
      <c r="FG130" s="292"/>
      <c r="FH130" s="292"/>
      <c r="FI130" s="292"/>
      <c r="FJ130" s="292"/>
      <c r="FK130" s="292"/>
      <c r="FL130" s="292"/>
      <c r="FM130" s="292"/>
      <c r="FN130" s="292"/>
      <c r="FO130" s="292"/>
      <c r="FP130" s="292"/>
      <c r="FQ130" s="292"/>
      <c r="FR130" s="292"/>
      <c r="FS130" s="292"/>
      <c r="FT130" s="292"/>
      <c r="FU130" s="292"/>
      <c r="FV130" s="292"/>
      <c r="FW130" s="292"/>
      <c r="FX130" s="292"/>
      <c r="FY130" s="292"/>
      <c r="FZ130" s="292"/>
      <c r="GA130" s="292"/>
      <c r="GB130" s="292"/>
      <c r="GC130" s="292"/>
      <c r="GD130" s="292"/>
      <c r="GE130" s="292"/>
      <c r="GF130" s="292"/>
      <c r="GG130" s="292"/>
      <c r="GH130" s="292"/>
      <c r="GI130" s="292"/>
      <c r="GJ130" s="292"/>
      <c r="GK130" s="292"/>
      <c r="GL130" s="292"/>
      <c r="GM130" s="292"/>
      <c r="GN130" s="292"/>
      <c r="GO130" s="292"/>
      <c r="GP130" s="292"/>
      <c r="GQ130" s="292"/>
      <c r="GR130" s="292"/>
      <c r="GS130" s="292"/>
      <c r="GT130" s="292"/>
      <c r="GU130" s="292"/>
      <c r="GV130" s="292"/>
      <c r="GW130" s="292"/>
      <c r="GX130" s="292"/>
      <c r="GY130" s="292"/>
      <c r="GZ130" s="292"/>
      <c r="HA130" s="292"/>
      <c r="HB130" s="292"/>
      <c r="HC130" s="292"/>
      <c r="HD130" s="292"/>
      <c r="HE130" s="292"/>
      <c r="HF130" s="292"/>
      <c r="HG130" s="292"/>
      <c r="HH130" s="292"/>
      <c r="HI130" s="292"/>
      <c r="HJ130" s="292"/>
      <c r="HK130" s="292"/>
      <c r="HL130" s="292"/>
      <c r="HM130" s="292"/>
      <c r="HN130" s="292"/>
      <c r="HO130" s="292"/>
      <c r="HP130" s="292"/>
      <c r="HQ130" s="292"/>
      <c r="HR130" s="292"/>
      <c r="HS130" s="292"/>
      <c r="HT130" s="292"/>
      <c r="HU130" s="292"/>
      <c r="HV130" s="292"/>
      <c r="HW130" s="292"/>
      <c r="HX130" s="292"/>
      <c r="HY130" s="292"/>
      <c r="HZ130" s="292"/>
      <c r="IA130" s="292"/>
      <c r="IB130" s="292"/>
      <c r="IC130" s="292"/>
      <c r="ID130" s="292"/>
      <c r="IE130" s="292"/>
      <c r="IF130" s="292"/>
      <c r="IG130" s="292"/>
      <c r="IH130" s="292"/>
      <c r="II130" s="292"/>
      <c r="IJ130" s="292"/>
      <c r="IK130" s="292"/>
      <c r="IL130" s="292"/>
      <c r="IM130" s="292"/>
      <c r="IN130" s="292"/>
      <c r="IO130" s="292"/>
      <c r="IP130" s="292"/>
      <c r="IQ130" s="292"/>
      <c r="IR130" s="292"/>
      <c r="IS130" s="292"/>
      <c r="IT130" s="292"/>
      <c r="IU130" s="292"/>
      <c r="IV130" s="292"/>
      <c r="IW130" s="292"/>
      <c r="IX130" s="292"/>
      <c r="IY130" s="292"/>
      <c r="IZ130" s="292"/>
      <c r="JA130" s="292"/>
      <c r="JB130" s="292"/>
      <c r="JC130" s="292"/>
      <c r="JD130" s="292"/>
      <c r="JE130" s="292"/>
      <c r="JF130" s="292"/>
      <c r="JG130" s="292"/>
      <c r="JH130" s="292"/>
      <c r="JI130" s="292"/>
      <c r="JJ130" s="292"/>
      <c r="JK130" s="292"/>
      <c r="JL130" s="292"/>
      <c r="JM130" s="292"/>
      <c r="JN130" s="292"/>
      <c r="JO130" s="292"/>
      <c r="JP130" s="292"/>
      <c r="JQ130" s="292"/>
      <c r="JR130" s="292"/>
      <c r="JS130" s="292"/>
      <c r="JT130" s="292"/>
      <c r="JU130" s="292"/>
      <c r="JV130" s="292"/>
      <c r="JW130" s="292"/>
      <c r="JX130" s="292"/>
      <c r="JY130" s="292"/>
      <c r="JZ130" s="292"/>
      <c r="KA130" s="292"/>
      <c r="KB130" s="292"/>
      <c r="KC130" s="292"/>
      <c r="KD130" s="292"/>
      <c r="KE130" s="292"/>
      <c r="KF130" s="292"/>
      <c r="KG130" s="292"/>
      <c r="KH130" s="292"/>
      <c r="KI130" s="292"/>
      <c r="KJ130" s="292"/>
      <c r="KK130" s="292"/>
      <c r="KL130" s="292"/>
      <c r="KM130" s="292"/>
      <c r="KN130" s="292"/>
      <c r="KO130" s="292"/>
      <c r="KP130" s="292"/>
      <c r="KQ130" s="292"/>
      <c r="KR130" s="292"/>
      <c r="KS130" s="292"/>
      <c r="KT130" s="292"/>
      <c r="KU130" s="292"/>
      <c r="KV130" s="292"/>
      <c r="KW130" s="292"/>
      <c r="KX130" s="292"/>
      <c r="KY130" s="292"/>
      <c r="KZ130" s="292"/>
      <c r="LA130" s="292"/>
      <c r="LB130" s="292"/>
      <c r="LC130" s="292"/>
      <c r="LD130" s="292"/>
      <c r="LE130" s="292"/>
      <c r="LF130" s="292"/>
      <c r="LG130" s="292"/>
      <c r="LH130" s="292"/>
      <c r="LI130" s="292"/>
      <c r="LJ130" s="292"/>
      <c r="LK130" s="292"/>
      <c r="LL130" s="292"/>
      <c r="LM130" s="292"/>
      <c r="LN130" s="292"/>
      <c r="LO130" s="292"/>
      <c r="LP130" s="292"/>
      <c r="LQ130" s="292"/>
      <c r="LR130" s="292"/>
      <c r="LS130" s="292"/>
      <c r="LT130" s="292"/>
      <c r="LU130" s="292"/>
      <c r="LV130" s="292"/>
      <c r="LW130" s="292"/>
      <c r="LX130" s="292"/>
      <c r="LY130" s="292"/>
      <c r="LZ130" s="292"/>
      <c r="MA130" s="292"/>
      <c r="MB130" s="292"/>
      <c r="MC130" s="292"/>
      <c r="MD130" s="292"/>
      <c r="ME130" s="292"/>
      <c r="MF130" s="292"/>
      <c r="MG130" s="292"/>
      <c r="MH130" s="292"/>
      <c r="MI130" s="292"/>
      <c r="MJ130" s="292"/>
      <c r="MK130" s="292"/>
      <c r="ML130" s="292"/>
      <c r="MM130" s="292"/>
      <c r="MN130" s="292"/>
      <c r="MO130" s="292"/>
      <c r="MP130" s="292"/>
      <c r="MQ130" s="292"/>
      <c r="MR130" s="292"/>
      <c r="MS130" s="292"/>
      <c r="MT130" s="292"/>
      <c r="MU130" s="292"/>
      <c r="MV130" s="292"/>
      <c r="MW130" s="292"/>
      <c r="MX130" s="292"/>
      <c r="MY130" s="292"/>
      <c r="MZ130" s="292"/>
      <c r="NA130" s="292"/>
      <c r="NB130" s="292"/>
      <c r="NC130" s="292"/>
      <c r="ND130" s="292"/>
      <c r="NE130" s="292"/>
      <c r="NF130" s="292"/>
      <c r="NG130" s="292"/>
      <c r="NH130" s="292"/>
      <c r="NI130" s="292"/>
      <c r="NJ130" s="292"/>
      <c r="NK130" s="292"/>
      <c r="NL130" s="292"/>
      <c r="NM130" s="292"/>
      <c r="NN130" s="292"/>
      <c r="NO130" s="292"/>
      <c r="NP130" s="292"/>
      <c r="NQ130" s="292"/>
      <c r="NR130" s="292"/>
      <c r="NS130" s="292"/>
      <c r="NT130" s="292"/>
      <c r="NU130" s="292"/>
      <c r="NV130" s="292"/>
      <c r="NW130" s="292"/>
      <c r="NX130" s="292"/>
      <c r="NY130" s="568"/>
      <c r="NZ130" s="568"/>
      <c r="OA130" s="575"/>
      <c r="OB130" s="575"/>
      <c r="OC130" s="578"/>
      <c r="OD130" s="578"/>
    </row>
    <row r="131" spans="1:399" s="20" customFormat="1" ht="13.5" thickBot="1">
      <c r="D131" s="82"/>
      <c r="E131" s="82"/>
      <c r="F131" s="82"/>
      <c r="G131" s="44"/>
      <c r="H131" s="67"/>
      <c r="K131" s="17"/>
      <c r="L131" s="17"/>
      <c r="O131" s="17"/>
      <c r="Z131" s="17"/>
      <c r="AL131" s="17"/>
      <c r="AN131" s="17"/>
      <c r="AO131" s="17"/>
      <c r="BC131" s="15"/>
      <c r="BD131" s="15"/>
      <c r="BE131" s="15"/>
      <c r="BF131" s="15"/>
      <c r="BG131" s="15"/>
      <c r="BH131" s="15"/>
      <c r="BI131" s="15"/>
      <c r="BJ131" s="15"/>
      <c r="BK131" s="15"/>
      <c r="BL131" s="15"/>
      <c r="BZ131" s="60"/>
      <c r="CB131" s="292"/>
      <c r="CF131" s="55"/>
      <c r="CG131" s="122" t="s">
        <v>130</v>
      </c>
      <c r="CH131" s="570">
        <v>0.88</v>
      </c>
      <c r="CI131" s="570">
        <v>0.88</v>
      </c>
      <c r="CJ131" s="570">
        <v>0.87</v>
      </c>
      <c r="CK131" s="570">
        <v>0.86</v>
      </c>
      <c r="CL131" s="570">
        <v>0.85</v>
      </c>
      <c r="CM131" s="570">
        <v>0.83</v>
      </c>
      <c r="CY131" s="645"/>
      <c r="CZ131" s="646" t="s">
        <v>145</v>
      </c>
      <c r="DA131" s="646"/>
      <c r="DB131" s="646"/>
      <c r="DC131" s="646"/>
      <c r="DD131" s="646"/>
      <c r="DE131" s="646"/>
      <c r="DF131" s="646"/>
      <c r="DG131" s="646"/>
      <c r="DH131" s="646"/>
      <c r="DI131" s="646"/>
      <c r="DJ131" s="646"/>
      <c r="DK131" s="646"/>
      <c r="DL131" s="646"/>
      <c r="DM131" s="646"/>
      <c r="DN131" s="646"/>
      <c r="DO131" s="646"/>
      <c r="DP131" s="646"/>
      <c r="DQ131" s="646"/>
      <c r="DR131" s="646"/>
      <c r="DS131" s="646"/>
      <c r="DT131" s="646"/>
      <c r="DU131" s="646"/>
      <c r="DV131" s="646"/>
      <c r="DW131" s="646"/>
      <c r="DX131" s="646"/>
      <c r="DY131" s="646"/>
      <c r="DZ131" s="646"/>
      <c r="EA131" s="646"/>
      <c r="EB131" s="646"/>
      <c r="EC131" s="646"/>
      <c r="ED131" s="646"/>
      <c r="EE131" s="646"/>
      <c r="EF131" s="646"/>
      <c r="EG131" s="646"/>
      <c r="EH131" s="646"/>
      <c r="EI131" s="646"/>
      <c r="EJ131" s="646"/>
      <c r="EK131" s="646"/>
      <c r="EL131" s="646"/>
      <c r="EM131" s="646"/>
      <c r="EN131" s="646"/>
      <c r="EO131" s="646"/>
      <c r="EP131" s="646"/>
      <c r="EQ131" s="646"/>
      <c r="ER131" s="646"/>
      <c r="ES131" s="646"/>
      <c r="ET131" s="646"/>
      <c r="EU131" s="646"/>
      <c r="EV131" s="646"/>
      <c r="EW131" s="646"/>
      <c r="EX131" s="646"/>
      <c r="EY131" s="646"/>
      <c r="EZ131" s="646"/>
      <c r="FA131" s="646"/>
      <c r="FB131" s="646"/>
      <c r="FC131" s="646"/>
      <c r="FD131" s="646"/>
      <c r="FE131" s="646"/>
      <c r="FF131" s="646"/>
      <c r="FG131" s="646"/>
      <c r="FH131" s="646"/>
      <c r="FI131" s="646"/>
      <c r="FJ131" s="646"/>
      <c r="FK131" s="646"/>
      <c r="FL131" s="646"/>
      <c r="FM131" s="646"/>
      <c r="FN131" s="646"/>
      <c r="FO131" s="646"/>
      <c r="FP131" s="646"/>
      <c r="FQ131" s="646"/>
      <c r="FR131" s="646"/>
      <c r="FS131" s="646"/>
      <c r="FT131" s="646"/>
      <c r="FU131" s="646"/>
      <c r="FV131" s="646"/>
      <c r="FW131" s="646"/>
      <c r="FX131" s="646"/>
      <c r="FY131" s="646"/>
      <c r="FZ131" s="646"/>
      <c r="GA131" s="646"/>
      <c r="GB131" s="646"/>
      <c r="GC131" s="646"/>
      <c r="GD131" s="646"/>
      <c r="GE131" s="646"/>
      <c r="GF131" s="646"/>
      <c r="GG131" s="646"/>
      <c r="GH131" s="646"/>
      <c r="GI131" s="646"/>
      <c r="GJ131" s="646"/>
      <c r="GK131" s="646"/>
      <c r="GL131" s="646"/>
      <c r="GM131" s="646"/>
      <c r="GN131" s="646"/>
      <c r="GO131" s="646"/>
      <c r="GP131" s="646"/>
      <c r="GQ131" s="646"/>
      <c r="GR131" s="646"/>
      <c r="GS131" s="646"/>
      <c r="GT131" s="646"/>
      <c r="GU131" s="646"/>
      <c r="GV131" s="646"/>
      <c r="GW131" s="646"/>
      <c r="GX131" s="646"/>
      <c r="GY131" s="646"/>
      <c r="GZ131" s="646"/>
      <c r="HA131" s="646"/>
      <c r="HB131" s="646"/>
      <c r="HC131" s="646"/>
      <c r="HD131" s="646"/>
      <c r="HE131" s="646"/>
      <c r="HF131" s="646"/>
      <c r="HG131" s="646"/>
      <c r="HH131" s="646"/>
      <c r="HI131" s="646"/>
      <c r="HJ131" s="646"/>
      <c r="HK131" s="646"/>
      <c r="HL131" s="646"/>
      <c r="HM131" s="646"/>
      <c r="HN131" s="646"/>
      <c r="HO131" s="646"/>
      <c r="HP131" s="646"/>
      <c r="HQ131" s="646"/>
      <c r="HR131" s="646"/>
      <c r="HS131" s="646"/>
      <c r="HT131" s="646"/>
      <c r="HU131" s="646"/>
      <c r="HV131" s="646"/>
      <c r="HW131" s="646"/>
      <c r="HX131" s="646"/>
      <c r="HY131" s="646"/>
      <c r="HZ131" s="646"/>
      <c r="IA131" s="646"/>
      <c r="IB131" s="646"/>
      <c r="IC131" s="646"/>
      <c r="ID131" s="646"/>
      <c r="IE131" s="646"/>
      <c r="IF131" s="646"/>
      <c r="IG131" s="646"/>
      <c r="IH131" s="646"/>
      <c r="II131" s="646"/>
      <c r="IJ131" s="646"/>
      <c r="IK131" s="646"/>
      <c r="IL131" s="646"/>
      <c r="IM131" s="646"/>
      <c r="IN131" s="646"/>
      <c r="IO131" s="646"/>
      <c r="IP131" s="646"/>
      <c r="IQ131" s="646"/>
      <c r="IR131" s="646"/>
      <c r="IS131" s="646"/>
      <c r="IT131" s="646"/>
      <c r="IU131" s="646"/>
      <c r="IV131" s="646"/>
      <c r="IW131" s="646"/>
      <c r="IX131" s="646"/>
      <c r="IY131" s="646"/>
      <c r="IZ131" s="646"/>
      <c r="JA131" s="646"/>
      <c r="JB131" s="646"/>
      <c r="JC131" s="646"/>
      <c r="JD131" s="646"/>
      <c r="JE131" s="646"/>
      <c r="JF131" s="646"/>
      <c r="JG131" s="646"/>
      <c r="JH131" s="646"/>
      <c r="JI131" s="646"/>
      <c r="JJ131" s="646"/>
      <c r="JK131" s="646"/>
      <c r="JL131" s="646"/>
      <c r="JM131" s="646"/>
      <c r="JN131" s="646"/>
      <c r="JO131" s="646"/>
      <c r="JP131" s="646"/>
      <c r="JQ131" s="646"/>
      <c r="JR131" s="646"/>
      <c r="JS131" s="646"/>
      <c r="JT131" s="646"/>
      <c r="JU131" s="646"/>
      <c r="JV131" s="646"/>
      <c r="JW131" s="646"/>
      <c r="JX131" s="646"/>
      <c r="JY131" s="646"/>
      <c r="JZ131" s="646"/>
      <c r="KA131" s="646"/>
      <c r="KB131" s="646"/>
      <c r="KC131" s="646"/>
      <c r="KD131" s="646"/>
      <c r="KE131" s="646"/>
      <c r="KF131" s="646"/>
      <c r="KG131" s="646"/>
      <c r="KH131" s="646"/>
      <c r="KI131" s="646"/>
      <c r="KJ131" s="646"/>
      <c r="KK131" s="646"/>
      <c r="KL131" s="646"/>
      <c r="KM131" s="646"/>
      <c r="KN131" s="646"/>
      <c r="KO131" s="646"/>
      <c r="KP131" s="646"/>
      <c r="KQ131" s="646"/>
      <c r="KR131" s="646"/>
      <c r="KS131" s="646"/>
      <c r="KT131" s="646"/>
      <c r="KU131" s="646"/>
      <c r="KV131" s="646"/>
      <c r="KW131" s="646"/>
      <c r="KX131" s="646"/>
      <c r="KY131" s="646"/>
      <c r="KZ131" s="646"/>
      <c r="LA131" s="646"/>
      <c r="LB131" s="646"/>
      <c r="LC131" s="646"/>
      <c r="LD131" s="646"/>
      <c r="LE131" s="646"/>
      <c r="LF131" s="646"/>
      <c r="LG131" s="646"/>
      <c r="LH131" s="646"/>
      <c r="LI131" s="646"/>
      <c r="LJ131" s="646"/>
      <c r="LK131" s="646"/>
      <c r="LL131" s="646"/>
      <c r="LM131" s="646"/>
      <c r="LN131" s="646"/>
      <c r="LO131" s="646"/>
      <c r="LP131" s="646"/>
      <c r="LQ131" s="646"/>
      <c r="LR131" s="646"/>
      <c r="LS131" s="646"/>
      <c r="LT131" s="646"/>
      <c r="LU131" s="646"/>
      <c r="LV131" s="646"/>
      <c r="LW131" s="646"/>
      <c r="LX131" s="646"/>
      <c r="LY131" s="646"/>
      <c r="LZ131" s="646"/>
      <c r="MA131" s="646"/>
      <c r="MB131" s="646"/>
      <c r="MC131" s="646"/>
      <c r="MD131" s="646"/>
      <c r="ME131" s="646"/>
      <c r="MF131" s="646"/>
      <c r="MG131" s="646"/>
      <c r="MH131" s="646"/>
      <c r="MI131" s="646"/>
      <c r="MJ131" s="646"/>
      <c r="MK131" s="646"/>
      <c r="ML131" s="646"/>
      <c r="MM131" s="646"/>
      <c r="MN131" s="646"/>
      <c r="MO131" s="646"/>
      <c r="MP131" s="646"/>
      <c r="MQ131" s="646"/>
      <c r="MR131" s="646"/>
      <c r="MS131" s="646"/>
      <c r="MT131" s="646"/>
      <c r="MU131" s="646"/>
      <c r="MV131" s="646"/>
      <c r="MW131" s="646"/>
      <c r="MX131" s="646"/>
      <c r="MY131" s="646"/>
      <c r="MZ131" s="646"/>
      <c r="NA131" s="646"/>
      <c r="NB131" s="646"/>
      <c r="NC131" s="646"/>
      <c r="ND131" s="646"/>
      <c r="NE131" s="646"/>
      <c r="NF131" s="646"/>
      <c r="NG131" s="646"/>
      <c r="NH131" s="646"/>
      <c r="NI131" s="646"/>
      <c r="NJ131" s="646"/>
      <c r="NK131" s="646"/>
      <c r="NL131" s="646"/>
      <c r="NM131" s="646"/>
      <c r="NN131" s="646"/>
      <c r="NO131" s="646"/>
      <c r="NP131" s="646"/>
      <c r="NQ131" s="646"/>
      <c r="NR131" s="646"/>
      <c r="NS131" s="646"/>
      <c r="NT131" s="646"/>
      <c r="NU131" s="646"/>
      <c r="NV131" s="646"/>
      <c r="NW131" s="646"/>
      <c r="NX131" s="556"/>
      <c r="NY131" s="568"/>
      <c r="NZ131" s="568"/>
      <c r="OA131" s="575"/>
      <c r="OB131" s="575"/>
      <c r="OC131" s="578"/>
      <c r="OD131" s="578"/>
    </row>
    <row r="132" spans="1:399" s="20" customFormat="1">
      <c r="D132" s="82"/>
      <c r="E132" s="82"/>
      <c r="F132" s="82"/>
      <c r="G132" s="73"/>
      <c r="H132" s="67"/>
      <c r="K132" s="17"/>
      <c r="L132" s="17"/>
      <c r="O132" s="17"/>
      <c r="Z132" s="17"/>
      <c r="AL132" s="17"/>
      <c r="AN132" s="17"/>
      <c r="AO132" s="17"/>
      <c r="BC132" s="15"/>
      <c r="BD132" s="15"/>
      <c r="BE132" s="15"/>
      <c r="BF132" s="15"/>
      <c r="BG132" s="15"/>
      <c r="BH132" s="15"/>
      <c r="BI132" s="15"/>
      <c r="BJ132" s="15"/>
      <c r="BK132" s="15"/>
      <c r="BL132" s="15"/>
      <c r="BZ132" s="60"/>
      <c r="CB132" s="292"/>
      <c r="CF132" s="58" t="s">
        <v>48</v>
      </c>
      <c r="CG132" s="123" t="s">
        <v>44</v>
      </c>
      <c r="CH132" s="571">
        <v>0.79</v>
      </c>
      <c r="CI132" s="571">
        <v>0.81</v>
      </c>
      <c r="CJ132" s="571">
        <v>0.78</v>
      </c>
      <c r="CK132" s="571">
        <v>0.81</v>
      </c>
      <c r="CL132" s="571">
        <v>0.81</v>
      </c>
      <c r="CM132" s="571">
        <v>0.84</v>
      </c>
      <c r="CY132" s="645"/>
      <c r="CZ132" s="669" t="s">
        <v>139</v>
      </c>
      <c r="DA132" s="623">
        <v>42009</v>
      </c>
      <c r="DB132" s="622"/>
      <c r="DC132" s="623">
        <v>42016</v>
      </c>
      <c r="DD132" s="622"/>
      <c r="DE132" s="623">
        <v>42023</v>
      </c>
      <c r="DF132" s="622"/>
      <c r="DG132" s="623">
        <v>42030</v>
      </c>
      <c r="DH132" s="622"/>
      <c r="DI132" s="623">
        <v>42037</v>
      </c>
      <c r="DJ132" s="622"/>
      <c r="DK132" s="623">
        <v>42044</v>
      </c>
      <c r="DL132" s="622"/>
      <c r="DM132" s="623">
        <v>42051</v>
      </c>
      <c r="DN132" s="622"/>
      <c r="DO132" s="623">
        <v>42058</v>
      </c>
      <c r="DP132" s="622"/>
      <c r="DQ132" s="623">
        <v>42065</v>
      </c>
      <c r="DR132" s="622"/>
      <c r="DS132" s="623">
        <v>42072</v>
      </c>
      <c r="DT132" s="622"/>
      <c r="DU132" s="623">
        <v>42079</v>
      </c>
      <c r="DV132" s="622"/>
      <c r="DW132" s="623">
        <v>42086</v>
      </c>
      <c r="DX132" s="622"/>
      <c r="DY132" s="623">
        <v>42093</v>
      </c>
      <c r="DZ132" s="622"/>
      <c r="EA132" s="623">
        <v>42100</v>
      </c>
      <c r="EB132" s="622"/>
      <c r="EC132" s="623">
        <v>42107</v>
      </c>
      <c r="ED132" s="622"/>
      <c r="EE132" s="623">
        <v>42114</v>
      </c>
      <c r="EF132" s="622"/>
      <c r="EG132" s="623">
        <v>42121</v>
      </c>
      <c r="EH132" s="622"/>
      <c r="EI132" s="623">
        <v>42128</v>
      </c>
      <c r="EJ132" s="622"/>
      <c r="EK132" s="623">
        <v>42135</v>
      </c>
      <c r="EL132" s="622"/>
      <c r="EM132" s="623">
        <v>42142</v>
      </c>
      <c r="EN132" s="622"/>
      <c r="EO132" s="623">
        <v>42149</v>
      </c>
      <c r="EP132" s="622"/>
      <c r="EQ132" s="623">
        <v>42156</v>
      </c>
      <c r="ER132" s="622"/>
      <c r="ES132" s="623">
        <v>42163</v>
      </c>
      <c r="ET132" s="622"/>
      <c r="EU132" s="623">
        <v>42170</v>
      </c>
      <c r="EV132" s="622"/>
      <c r="EW132" s="623">
        <v>42177</v>
      </c>
      <c r="EX132" s="622"/>
      <c r="EY132" s="623">
        <v>42184</v>
      </c>
      <c r="EZ132" s="622"/>
      <c r="FA132" s="623">
        <v>42191</v>
      </c>
      <c r="FB132" s="622"/>
      <c r="FC132" s="623">
        <v>42198</v>
      </c>
      <c r="FD132" s="622"/>
      <c r="FE132" s="623">
        <v>42205</v>
      </c>
      <c r="FF132" s="622"/>
      <c r="FG132" s="623">
        <v>42212</v>
      </c>
      <c r="FH132" s="622"/>
      <c r="FI132" s="623">
        <v>42219</v>
      </c>
      <c r="FJ132" s="622"/>
      <c r="FK132" s="623">
        <v>42226</v>
      </c>
      <c r="FL132" s="622"/>
      <c r="FM132" s="623">
        <v>42233</v>
      </c>
      <c r="FN132" s="622"/>
      <c r="FO132" s="623">
        <v>42240</v>
      </c>
      <c r="FP132" s="622"/>
      <c r="FQ132" s="623">
        <v>42247</v>
      </c>
      <c r="FR132" s="622"/>
      <c r="FS132" s="623">
        <v>42254</v>
      </c>
      <c r="FT132" s="622"/>
      <c r="FU132" s="623">
        <v>42261</v>
      </c>
      <c r="FV132" s="622"/>
      <c r="FW132" s="623">
        <v>42268</v>
      </c>
      <c r="FX132" s="622"/>
      <c r="FY132" s="623">
        <v>42275</v>
      </c>
      <c r="FZ132" s="622"/>
      <c r="GA132" s="623">
        <v>42282</v>
      </c>
      <c r="GB132" s="622"/>
      <c r="GC132" s="623">
        <v>42289</v>
      </c>
      <c r="GD132" s="622"/>
      <c r="GE132" s="623">
        <v>42296</v>
      </c>
      <c r="GF132" s="622"/>
      <c r="GG132" s="623">
        <v>42303</v>
      </c>
      <c r="GH132" s="622"/>
      <c r="GI132" s="623">
        <v>42310</v>
      </c>
      <c r="GJ132" s="622"/>
      <c r="GK132" s="623">
        <v>42317</v>
      </c>
      <c r="GL132" s="622"/>
      <c r="GM132" s="623">
        <v>42324</v>
      </c>
      <c r="GN132" s="622"/>
      <c r="GO132" s="623">
        <v>42331</v>
      </c>
      <c r="GP132" s="622"/>
      <c r="GQ132" s="623">
        <v>42338</v>
      </c>
      <c r="GR132" s="622"/>
      <c r="GS132" s="623">
        <v>42345</v>
      </c>
      <c r="GT132" s="622"/>
      <c r="GU132" s="623">
        <v>42352</v>
      </c>
      <c r="GV132" s="622"/>
      <c r="GW132" s="623">
        <v>42359</v>
      </c>
      <c r="GX132" s="622"/>
      <c r="GY132" s="623">
        <v>42366</v>
      </c>
      <c r="GZ132" s="622"/>
      <c r="HA132" s="623">
        <v>42373</v>
      </c>
      <c r="HB132" s="622"/>
      <c r="HC132" s="623">
        <v>42380</v>
      </c>
      <c r="HD132" s="622"/>
      <c r="HE132" s="623">
        <v>42387</v>
      </c>
      <c r="HF132" s="622"/>
      <c r="HG132" s="623">
        <v>42394</v>
      </c>
      <c r="HH132" s="622"/>
      <c r="HI132" s="623">
        <v>42401</v>
      </c>
      <c r="HJ132" s="622"/>
      <c r="HK132" s="623">
        <v>42408</v>
      </c>
      <c r="HL132" s="622"/>
      <c r="HM132" s="623">
        <v>42415</v>
      </c>
      <c r="HN132" s="622"/>
      <c r="HO132" s="623">
        <v>42422</v>
      </c>
      <c r="HP132" s="622"/>
      <c r="HQ132" s="623">
        <v>42429</v>
      </c>
      <c r="HR132" s="622"/>
      <c r="HS132" s="623">
        <v>42436</v>
      </c>
      <c r="HT132" s="622"/>
      <c r="HU132" s="623">
        <v>42443</v>
      </c>
      <c r="HV132" s="622"/>
      <c r="HW132" s="623">
        <v>42450</v>
      </c>
      <c r="HX132" s="622"/>
      <c r="HY132" s="623">
        <v>42457</v>
      </c>
      <c r="HZ132" s="622"/>
      <c r="IA132" s="623">
        <v>42464</v>
      </c>
      <c r="IB132" s="622"/>
      <c r="IC132" s="623">
        <v>42471</v>
      </c>
      <c r="ID132" s="622"/>
      <c r="IE132" s="623">
        <v>42478</v>
      </c>
      <c r="IF132" s="622"/>
      <c r="IG132" s="623">
        <v>42485</v>
      </c>
      <c r="IH132" s="622"/>
      <c r="II132" s="623">
        <v>42492</v>
      </c>
      <c r="IJ132" s="622"/>
      <c r="IK132" s="623">
        <v>42499</v>
      </c>
      <c r="IL132" s="622"/>
      <c r="IM132" s="623">
        <v>42506</v>
      </c>
      <c r="IN132" s="622"/>
      <c r="IO132" s="623">
        <v>42513</v>
      </c>
      <c r="IP132" s="622"/>
      <c r="IQ132" s="623">
        <v>42520</v>
      </c>
      <c r="IR132" s="622"/>
      <c r="IS132" s="623">
        <v>42527</v>
      </c>
      <c r="IT132" s="622"/>
      <c r="IU132" s="623">
        <v>42534</v>
      </c>
      <c r="IV132" s="622"/>
      <c r="IW132" s="623">
        <v>42541</v>
      </c>
      <c r="IX132" s="622"/>
      <c r="IY132" s="623">
        <v>42548</v>
      </c>
      <c r="IZ132" s="622"/>
      <c r="JA132" s="620">
        <v>42555</v>
      </c>
      <c r="JB132" s="621"/>
      <c r="JC132" s="620">
        <v>42562</v>
      </c>
      <c r="JD132" s="621"/>
      <c r="JE132" s="620">
        <v>42576</v>
      </c>
      <c r="JF132" s="621"/>
      <c r="JG132" s="620">
        <v>42583</v>
      </c>
      <c r="JH132" s="621"/>
      <c r="JI132" s="620">
        <v>42590</v>
      </c>
      <c r="JJ132" s="621"/>
      <c r="JK132" s="620">
        <v>42597</v>
      </c>
      <c r="JL132" s="621"/>
      <c r="JM132" s="620">
        <v>42604</v>
      </c>
      <c r="JN132" s="621"/>
      <c r="JO132" s="620">
        <v>42611</v>
      </c>
      <c r="JP132" s="621"/>
      <c r="JQ132" s="620">
        <v>42618</v>
      </c>
      <c r="JR132" s="621"/>
      <c r="JS132" s="620">
        <v>42625</v>
      </c>
      <c r="JT132" s="621"/>
      <c r="JU132" s="620">
        <v>42632</v>
      </c>
      <c r="JV132" s="621"/>
      <c r="JW132" s="620">
        <v>42639</v>
      </c>
      <c r="JX132" s="621"/>
      <c r="JY132" s="620">
        <v>42646</v>
      </c>
      <c r="JZ132" s="621"/>
      <c r="KA132" s="620">
        <v>42653</v>
      </c>
      <c r="KB132" s="621"/>
      <c r="KC132" s="620">
        <v>42667</v>
      </c>
      <c r="KD132" s="621"/>
      <c r="KE132" s="620">
        <v>42674</v>
      </c>
      <c r="KF132" s="621"/>
      <c r="KG132" s="620">
        <v>42681</v>
      </c>
      <c r="KH132" s="621"/>
      <c r="KI132" s="620">
        <v>42688</v>
      </c>
      <c r="KJ132" s="621"/>
      <c r="KK132" s="620">
        <v>42695</v>
      </c>
      <c r="KL132" s="621"/>
      <c r="KM132" s="620">
        <v>42702</v>
      </c>
      <c r="KN132" s="621"/>
      <c r="KO132" s="620">
        <v>42709</v>
      </c>
      <c r="KP132" s="621"/>
      <c r="KQ132" s="620">
        <v>42716</v>
      </c>
      <c r="KR132" s="621"/>
      <c r="KS132" s="620">
        <f>KQ132+7</f>
        <v>42723</v>
      </c>
      <c r="KT132" s="619"/>
      <c r="KU132" s="620">
        <f>KS132+7</f>
        <v>42730</v>
      </c>
      <c r="KV132" s="619"/>
      <c r="KW132" s="620">
        <v>42737</v>
      </c>
      <c r="KX132" s="619"/>
      <c r="KY132" s="620">
        <f>KW132+7</f>
        <v>42744</v>
      </c>
      <c r="KZ132" s="621"/>
      <c r="LA132" s="620">
        <f>KY132+7</f>
        <v>42751</v>
      </c>
      <c r="LB132" s="621"/>
      <c r="LC132" s="620">
        <f>LA132+7</f>
        <v>42758</v>
      </c>
      <c r="LD132" s="621"/>
      <c r="LE132" s="620">
        <f>LC132+7</f>
        <v>42765</v>
      </c>
      <c r="LF132" s="621"/>
      <c r="LG132" s="620">
        <f>LE132+7</f>
        <v>42772</v>
      </c>
      <c r="LH132" s="621"/>
      <c r="LI132" s="620">
        <f>LG132+7</f>
        <v>42779</v>
      </c>
      <c r="LJ132" s="621"/>
      <c r="LK132" s="620">
        <f>LI132+7</f>
        <v>42786</v>
      </c>
      <c r="LL132" s="621"/>
      <c r="LM132" s="620">
        <f>LK132+7</f>
        <v>42793</v>
      </c>
      <c r="LN132" s="621"/>
      <c r="LO132" s="620">
        <f>LM132+7</f>
        <v>42800</v>
      </c>
      <c r="LP132" s="621"/>
      <c r="LQ132" s="620">
        <f>LO132+7</f>
        <v>42807</v>
      </c>
      <c r="LR132" s="621"/>
      <c r="LS132" s="620">
        <f>LQ132+7</f>
        <v>42814</v>
      </c>
      <c r="LT132" s="621"/>
      <c r="LU132" s="620">
        <f>LS132+7</f>
        <v>42821</v>
      </c>
      <c r="LV132" s="621"/>
      <c r="LW132" s="620">
        <f>LU132+7</f>
        <v>42828</v>
      </c>
      <c r="LX132" s="621"/>
      <c r="LY132" s="620">
        <f>LW132+7</f>
        <v>42835</v>
      </c>
      <c r="LZ132" s="621"/>
      <c r="MA132" s="620">
        <f>LY132+7</f>
        <v>42842</v>
      </c>
      <c r="MB132" s="621"/>
      <c r="MC132" s="620">
        <f>MA132+7</f>
        <v>42849</v>
      </c>
      <c r="MD132" s="621"/>
      <c r="ME132" s="620">
        <f>MC132+7</f>
        <v>42856</v>
      </c>
      <c r="MF132" s="621"/>
      <c r="MG132" s="620">
        <f>ME132+7</f>
        <v>42863</v>
      </c>
      <c r="MH132" s="621"/>
      <c r="MI132" s="620">
        <f>MG132+7</f>
        <v>42870</v>
      </c>
      <c r="MJ132" s="621"/>
      <c r="MK132" s="620">
        <f>MI132+7</f>
        <v>42877</v>
      </c>
      <c r="ML132" s="621"/>
      <c r="MM132" s="620">
        <f>MK132+7</f>
        <v>42884</v>
      </c>
      <c r="MN132" s="621"/>
      <c r="MO132" s="620">
        <f>MM132+7</f>
        <v>42891</v>
      </c>
      <c r="MP132" s="621"/>
      <c r="MQ132" s="620">
        <f>MO132+7</f>
        <v>42898</v>
      </c>
      <c r="MR132" s="621"/>
      <c r="MS132" s="620">
        <f>MQ132+7</f>
        <v>42905</v>
      </c>
      <c r="MT132" s="621"/>
      <c r="MU132" s="620">
        <f>MS132+7</f>
        <v>42912</v>
      </c>
      <c r="MV132" s="621"/>
      <c r="MW132" s="620">
        <f>MU132+7</f>
        <v>42919</v>
      </c>
      <c r="MX132" s="619"/>
      <c r="MY132" s="620">
        <f t="shared" ref="MY132" si="30">MW132+7</f>
        <v>42926</v>
      </c>
      <c r="MZ132" s="559"/>
      <c r="NA132" s="620">
        <f t="shared" ref="NA132" si="31">MY132+7</f>
        <v>42933</v>
      </c>
      <c r="NB132" s="619"/>
      <c r="NC132" s="620">
        <f t="shared" ref="NC132" si="32">NA132+7</f>
        <v>42940</v>
      </c>
      <c r="ND132" s="619"/>
      <c r="NE132" s="620">
        <f t="shared" ref="NE132" si="33">NC132+7</f>
        <v>42947</v>
      </c>
      <c r="NF132" s="619"/>
      <c r="NG132" s="620">
        <f t="shared" ref="NG132" si="34">NE132+7</f>
        <v>42954</v>
      </c>
      <c r="NH132" s="619"/>
      <c r="NI132" s="620">
        <f>NG132+7</f>
        <v>42961</v>
      </c>
      <c r="NJ132" s="619"/>
      <c r="NK132" s="620">
        <f>NI132+7</f>
        <v>42968</v>
      </c>
      <c r="NL132" s="619"/>
      <c r="NM132" s="620">
        <f>NK132+7</f>
        <v>42975</v>
      </c>
      <c r="NN132" s="619"/>
      <c r="NO132" s="620">
        <f t="shared" ref="NO132" si="35">NM132+7</f>
        <v>42982</v>
      </c>
      <c r="NP132" s="619"/>
      <c r="NQ132" s="620">
        <f t="shared" ref="NQ132" si="36">NO132+7</f>
        <v>42989</v>
      </c>
      <c r="NR132" s="619"/>
      <c r="NS132" s="620">
        <f t="shared" ref="NS132" si="37">NQ132+7</f>
        <v>42996</v>
      </c>
      <c r="NT132" s="619"/>
      <c r="NU132" s="620">
        <f>NS132+7</f>
        <v>43003</v>
      </c>
      <c r="NV132" s="619"/>
      <c r="NW132" s="620">
        <f t="shared" ref="NW132" si="38">NU132+7</f>
        <v>43010</v>
      </c>
      <c r="NX132" s="619"/>
      <c r="NY132" s="620">
        <f t="shared" ref="NY132" si="39">NW132+7</f>
        <v>43017</v>
      </c>
      <c r="NZ132" s="619"/>
      <c r="OA132" s="620">
        <f t="shared" ref="OA132" si="40">NY132+7</f>
        <v>43024</v>
      </c>
      <c r="OB132" s="619"/>
      <c r="OC132" s="620">
        <f t="shared" ref="OC132" si="41">OA132+7</f>
        <v>43031</v>
      </c>
      <c r="OD132" s="619"/>
      <c r="OE132" s="620">
        <f t="shared" ref="OE132" si="42">OC132+7</f>
        <v>43038</v>
      </c>
      <c r="OF132" s="619"/>
      <c r="OG132" s="620">
        <f t="shared" ref="OG132" si="43">OE132+7</f>
        <v>43045</v>
      </c>
      <c r="OH132" s="619"/>
    </row>
    <row r="133" spans="1:399" s="20" customFormat="1" ht="11.25" customHeight="1">
      <c r="D133" s="82"/>
      <c r="E133" s="82"/>
      <c r="F133" s="82"/>
      <c r="G133" s="73"/>
      <c r="H133" s="67"/>
      <c r="K133" s="17"/>
      <c r="L133" s="17"/>
      <c r="O133" s="17"/>
      <c r="Z133" s="17"/>
      <c r="AL133" s="17"/>
      <c r="AN133" s="17"/>
      <c r="AO133" s="17"/>
      <c r="BC133" s="15"/>
      <c r="BD133" s="15"/>
      <c r="BE133" s="15"/>
      <c r="BF133" s="15"/>
      <c r="BG133" s="15"/>
      <c r="BH133" s="15"/>
      <c r="BI133" s="15"/>
      <c r="BJ133" s="15"/>
      <c r="BK133" s="15"/>
      <c r="BL133" s="15"/>
      <c r="BZ133" s="60"/>
      <c r="CB133" s="292"/>
      <c r="CF133" s="26"/>
      <c r="CG133" s="258" t="s">
        <v>51</v>
      </c>
      <c r="CH133" s="571">
        <v>0.21</v>
      </c>
      <c r="CI133" s="571">
        <v>0.19</v>
      </c>
      <c r="CJ133" s="571">
        <v>0.22</v>
      </c>
      <c r="CK133" s="571">
        <v>0.19</v>
      </c>
      <c r="CL133" s="571">
        <v>0.19</v>
      </c>
      <c r="CM133" s="571">
        <v>0.16</v>
      </c>
      <c r="CY133" s="645"/>
      <c r="CZ133" s="557"/>
      <c r="DA133" s="193" t="s">
        <v>140</v>
      </c>
      <c r="DB133" s="207" t="s">
        <v>141</v>
      </c>
      <c r="DC133" s="193" t="s">
        <v>140</v>
      </c>
      <c r="DD133" s="207" t="s">
        <v>141</v>
      </c>
      <c r="DE133" s="193" t="s">
        <v>140</v>
      </c>
      <c r="DF133" s="207" t="s">
        <v>141</v>
      </c>
      <c r="DG133" s="193" t="s">
        <v>140</v>
      </c>
      <c r="DH133" s="207" t="s">
        <v>141</v>
      </c>
      <c r="DI133" s="193" t="s">
        <v>140</v>
      </c>
      <c r="DJ133" s="207" t="s">
        <v>141</v>
      </c>
      <c r="DK133" s="193" t="s">
        <v>140</v>
      </c>
      <c r="DL133" s="207" t="s">
        <v>141</v>
      </c>
      <c r="DM133" s="193" t="s">
        <v>140</v>
      </c>
      <c r="DN133" s="207" t="s">
        <v>141</v>
      </c>
      <c r="DO133" s="193" t="s">
        <v>140</v>
      </c>
      <c r="DP133" s="207" t="s">
        <v>141</v>
      </c>
      <c r="DQ133" s="193" t="s">
        <v>140</v>
      </c>
      <c r="DR133" s="207" t="s">
        <v>141</v>
      </c>
      <c r="DS133" s="193" t="s">
        <v>140</v>
      </c>
      <c r="DT133" s="207" t="s">
        <v>141</v>
      </c>
      <c r="DU133" s="193" t="s">
        <v>140</v>
      </c>
      <c r="DV133" s="207" t="s">
        <v>141</v>
      </c>
      <c r="DW133" s="193" t="s">
        <v>140</v>
      </c>
      <c r="DX133" s="207" t="s">
        <v>141</v>
      </c>
      <c r="DY133" s="193" t="s">
        <v>140</v>
      </c>
      <c r="DZ133" s="207" t="s">
        <v>141</v>
      </c>
      <c r="EA133" s="193" t="s">
        <v>140</v>
      </c>
      <c r="EB133" s="207" t="s">
        <v>141</v>
      </c>
      <c r="EC133" s="193" t="s">
        <v>140</v>
      </c>
      <c r="ED133" s="207" t="s">
        <v>141</v>
      </c>
      <c r="EE133" s="193" t="s">
        <v>140</v>
      </c>
      <c r="EF133" s="207" t="s">
        <v>141</v>
      </c>
      <c r="EG133" s="303" t="s">
        <v>140</v>
      </c>
      <c r="EH133" s="306" t="s">
        <v>141</v>
      </c>
      <c r="EI133" s="303" t="s">
        <v>140</v>
      </c>
      <c r="EJ133" s="306" t="s">
        <v>141</v>
      </c>
      <c r="EK133" s="303" t="s">
        <v>140</v>
      </c>
      <c r="EL133" s="306" t="s">
        <v>141</v>
      </c>
      <c r="EM133" s="303" t="s">
        <v>140</v>
      </c>
      <c r="EN133" s="306" t="s">
        <v>141</v>
      </c>
      <c r="EO133" s="303" t="s">
        <v>140</v>
      </c>
      <c r="EP133" s="306" t="s">
        <v>141</v>
      </c>
      <c r="EQ133" s="303" t="s">
        <v>140</v>
      </c>
      <c r="ER133" s="306" t="s">
        <v>141</v>
      </c>
      <c r="ES133" s="303" t="s">
        <v>140</v>
      </c>
      <c r="ET133" s="306" t="s">
        <v>141</v>
      </c>
      <c r="EU133" s="303" t="s">
        <v>140</v>
      </c>
      <c r="EV133" s="306" t="s">
        <v>141</v>
      </c>
      <c r="EW133" s="303" t="s">
        <v>140</v>
      </c>
      <c r="EX133" s="306" t="s">
        <v>141</v>
      </c>
      <c r="EY133" s="193" t="s">
        <v>140</v>
      </c>
      <c r="EZ133" s="207" t="s">
        <v>141</v>
      </c>
      <c r="FA133" s="303" t="s">
        <v>140</v>
      </c>
      <c r="FB133" s="306" t="s">
        <v>141</v>
      </c>
      <c r="FC133" s="303" t="s">
        <v>140</v>
      </c>
      <c r="FD133" s="306" t="s">
        <v>141</v>
      </c>
      <c r="FE133" s="303" t="s">
        <v>140</v>
      </c>
      <c r="FF133" s="306" t="s">
        <v>141</v>
      </c>
      <c r="FG133" s="303" t="s">
        <v>140</v>
      </c>
      <c r="FH133" s="306" t="s">
        <v>141</v>
      </c>
      <c r="FI133" s="303" t="s">
        <v>140</v>
      </c>
      <c r="FJ133" s="306" t="s">
        <v>141</v>
      </c>
      <c r="FK133" s="303" t="s">
        <v>140</v>
      </c>
      <c r="FL133" s="306" t="s">
        <v>141</v>
      </c>
      <c r="FM133" s="303" t="s">
        <v>140</v>
      </c>
      <c r="FN133" s="306" t="s">
        <v>141</v>
      </c>
      <c r="FO133" s="303" t="s">
        <v>140</v>
      </c>
      <c r="FP133" s="306" t="s">
        <v>141</v>
      </c>
      <c r="FQ133" s="303" t="s">
        <v>140</v>
      </c>
      <c r="FR133" s="306" t="s">
        <v>141</v>
      </c>
      <c r="FS133" s="303" t="s">
        <v>140</v>
      </c>
      <c r="FT133" s="306" t="s">
        <v>141</v>
      </c>
      <c r="FU133" s="303" t="s">
        <v>140</v>
      </c>
      <c r="FV133" s="306" t="s">
        <v>141</v>
      </c>
      <c r="FW133" s="303" t="s">
        <v>140</v>
      </c>
      <c r="FX133" s="306" t="s">
        <v>141</v>
      </c>
      <c r="FY133" s="303" t="s">
        <v>140</v>
      </c>
      <c r="FZ133" s="306" t="s">
        <v>141</v>
      </c>
      <c r="GA133" s="303" t="s">
        <v>140</v>
      </c>
      <c r="GB133" s="306" t="s">
        <v>141</v>
      </c>
      <c r="GC133" s="303" t="s">
        <v>140</v>
      </c>
      <c r="GD133" s="306" t="s">
        <v>141</v>
      </c>
      <c r="GE133" s="303" t="s">
        <v>140</v>
      </c>
      <c r="GF133" s="306" t="s">
        <v>141</v>
      </c>
      <c r="GG133" s="303" t="s">
        <v>140</v>
      </c>
      <c r="GH133" s="306" t="s">
        <v>141</v>
      </c>
      <c r="GI133" s="303" t="s">
        <v>140</v>
      </c>
      <c r="GJ133" s="306" t="s">
        <v>141</v>
      </c>
      <c r="GK133" s="303" t="s">
        <v>140</v>
      </c>
      <c r="GL133" s="306" t="s">
        <v>141</v>
      </c>
      <c r="GM133" s="303" t="s">
        <v>140</v>
      </c>
      <c r="GN133" s="306" t="s">
        <v>141</v>
      </c>
      <c r="GO133" s="303" t="s">
        <v>140</v>
      </c>
      <c r="GP133" s="306" t="s">
        <v>141</v>
      </c>
      <c r="GQ133" s="303" t="s">
        <v>140</v>
      </c>
      <c r="GR133" s="306" t="s">
        <v>141</v>
      </c>
      <c r="GS133" s="303" t="s">
        <v>140</v>
      </c>
      <c r="GT133" s="306" t="s">
        <v>141</v>
      </c>
      <c r="GU133" s="303" t="s">
        <v>140</v>
      </c>
      <c r="GV133" s="306" t="s">
        <v>141</v>
      </c>
      <c r="GW133" s="303" t="s">
        <v>140</v>
      </c>
      <c r="GX133" s="306" t="s">
        <v>141</v>
      </c>
      <c r="GY133" s="303" t="s">
        <v>140</v>
      </c>
      <c r="GZ133" s="306" t="s">
        <v>141</v>
      </c>
      <c r="HA133" s="303" t="s">
        <v>140</v>
      </c>
      <c r="HB133" s="306" t="s">
        <v>141</v>
      </c>
      <c r="HC133" s="303" t="s">
        <v>140</v>
      </c>
      <c r="HD133" s="306" t="s">
        <v>141</v>
      </c>
      <c r="HE133" s="303" t="s">
        <v>140</v>
      </c>
      <c r="HF133" s="306" t="s">
        <v>141</v>
      </c>
      <c r="HG133" s="303" t="s">
        <v>140</v>
      </c>
      <c r="HH133" s="306" t="s">
        <v>141</v>
      </c>
      <c r="HI133" s="303" t="s">
        <v>140</v>
      </c>
      <c r="HJ133" s="306" t="s">
        <v>141</v>
      </c>
      <c r="HK133" s="303" t="s">
        <v>140</v>
      </c>
      <c r="HL133" s="306" t="s">
        <v>141</v>
      </c>
      <c r="HM133" s="303" t="s">
        <v>140</v>
      </c>
      <c r="HN133" s="306" t="s">
        <v>141</v>
      </c>
      <c r="HO133" s="303" t="s">
        <v>140</v>
      </c>
      <c r="HP133" s="306" t="s">
        <v>141</v>
      </c>
      <c r="HQ133" s="303" t="s">
        <v>140</v>
      </c>
      <c r="HR133" s="306" t="s">
        <v>141</v>
      </c>
      <c r="HS133" s="303" t="s">
        <v>140</v>
      </c>
      <c r="HT133" s="306" t="s">
        <v>141</v>
      </c>
      <c r="HU133" s="303" t="s">
        <v>140</v>
      </c>
      <c r="HV133" s="306" t="s">
        <v>141</v>
      </c>
      <c r="HW133" s="303" t="s">
        <v>140</v>
      </c>
      <c r="HX133" s="306" t="s">
        <v>141</v>
      </c>
      <c r="HY133" s="303" t="s">
        <v>140</v>
      </c>
      <c r="HZ133" s="306" t="s">
        <v>141</v>
      </c>
      <c r="IA133" s="303" t="s">
        <v>140</v>
      </c>
      <c r="IB133" s="306" t="s">
        <v>141</v>
      </c>
      <c r="IC133" s="303" t="s">
        <v>140</v>
      </c>
      <c r="ID133" s="306" t="s">
        <v>141</v>
      </c>
      <c r="IE133" s="303" t="s">
        <v>140</v>
      </c>
      <c r="IF133" s="306" t="s">
        <v>141</v>
      </c>
      <c r="IG133" s="303" t="s">
        <v>140</v>
      </c>
      <c r="IH133" s="306" t="s">
        <v>141</v>
      </c>
      <c r="II133" s="303" t="s">
        <v>140</v>
      </c>
      <c r="IJ133" s="306" t="s">
        <v>141</v>
      </c>
      <c r="IK133" s="303" t="s">
        <v>140</v>
      </c>
      <c r="IL133" s="306" t="s">
        <v>141</v>
      </c>
      <c r="IM133" s="303" t="s">
        <v>140</v>
      </c>
      <c r="IN133" s="306" t="s">
        <v>141</v>
      </c>
      <c r="IO133" s="303" t="s">
        <v>140</v>
      </c>
      <c r="IP133" s="306" t="s">
        <v>141</v>
      </c>
      <c r="IQ133" s="303" t="s">
        <v>140</v>
      </c>
      <c r="IR133" s="306" t="s">
        <v>141</v>
      </c>
      <c r="IS133" s="303" t="s">
        <v>140</v>
      </c>
      <c r="IT133" s="306" t="s">
        <v>141</v>
      </c>
      <c r="IU133" s="303" t="s">
        <v>140</v>
      </c>
      <c r="IV133" s="306" t="s">
        <v>141</v>
      </c>
      <c r="IW133" s="303" t="s">
        <v>140</v>
      </c>
      <c r="IX133" s="306" t="s">
        <v>141</v>
      </c>
      <c r="IY133" s="303" t="s">
        <v>140</v>
      </c>
      <c r="IZ133" s="306" t="s">
        <v>141</v>
      </c>
      <c r="JA133" s="362" t="s">
        <v>140</v>
      </c>
      <c r="JB133" s="363" t="s">
        <v>141</v>
      </c>
      <c r="JC133" s="362" t="s">
        <v>140</v>
      </c>
      <c r="JD133" s="363" t="s">
        <v>141</v>
      </c>
      <c r="JE133" s="362" t="s">
        <v>140</v>
      </c>
      <c r="JF133" s="363" t="s">
        <v>141</v>
      </c>
      <c r="JG133" s="362" t="s">
        <v>140</v>
      </c>
      <c r="JH133" s="363" t="s">
        <v>141</v>
      </c>
      <c r="JI133" s="362" t="s">
        <v>140</v>
      </c>
      <c r="JJ133" s="363" t="s">
        <v>141</v>
      </c>
      <c r="JK133" s="362" t="s">
        <v>140</v>
      </c>
      <c r="JL133" s="363" t="s">
        <v>141</v>
      </c>
      <c r="JM133" s="362" t="s">
        <v>140</v>
      </c>
      <c r="JN133" s="363" t="s">
        <v>141</v>
      </c>
      <c r="JO133" s="362" t="s">
        <v>140</v>
      </c>
      <c r="JP133" s="363" t="s">
        <v>141</v>
      </c>
      <c r="JQ133" s="362" t="s">
        <v>140</v>
      </c>
      <c r="JR133" s="363" t="s">
        <v>141</v>
      </c>
      <c r="JS133" s="362" t="s">
        <v>140</v>
      </c>
      <c r="JT133" s="363" t="s">
        <v>141</v>
      </c>
      <c r="JU133" s="362" t="s">
        <v>140</v>
      </c>
      <c r="JV133" s="363" t="s">
        <v>141</v>
      </c>
      <c r="JW133" s="362" t="s">
        <v>140</v>
      </c>
      <c r="JX133" s="363" t="s">
        <v>141</v>
      </c>
      <c r="JY133" s="362" t="s">
        <v>140</v>
      </c>
      <c r="JZ133" s="363" t="s">
        <v>141</v>
      </c>
      <c r="KA133" s="362" t="s">
        <v>140</v>
      </c>
      <c r="KB133" s="363" t="s">
        <v>141</v>
      </c>
      <c r="KC133" s="362" t="s">
        <v>140</v>
      </c>
      <c r="KD133" s="363" t="s">
        <v>141</v>
      </c>
      <c r="KE133" s="362" t="s">
        <v>140</v>
      </c>
      <c r="KF133" s="363" t="s">
        <v>141</v>
      </c>
      <c r="KG133" s="362" t="s">
        <v>140</v>
      </c>
      <c r="KH133" s="363" t="s">
        <v>141</v>
      </c>
      <c r="KI133" s="362" t="s">
        <v>140</v>
      </c>
      <c r="KJ133" s="363" t="s">
        <v>141</v>
      </c>
      <c r="KK133" s="362" t="s">
        <v>140</v>
      </c>
      <c r="KL133" s="363" t="s">
        <v>141</v>
      </c>
      <c r="KM133" s="362" t="s">
        <v>140</v>
      </c>
      <c r="KN133" s="363" t="s">
        <v>141</v>
      </c>
      <c r="KO133" s="362" t="s">
        <v>140</v>
      </c>
      <c r="KP133" s="363" t="s">
        <v>141</v>
      </c>
      <c r="KQ133" s="362" t="s">
        <v>140</v>
      </c>
      <c r="KR133" s="363" t="s">
        <v>141</v>
      </c>
      <c r="KS133" s="362" t="s">
        <v>140</v>
      </c>
      <c r="KT133" s="363" t="s">
        <v>141</v>
      </c>
      <c r="KU133" s="362" t="s">
        <v>140</v>
      </c>
      <c r="KV133" s="363" t="s">
        <v>141</v>
      </c>
      <c r="KW133" s="362" t="s">
        <v>140</v>
      </c>
      <c r="KX133" s="363" t="s">
        <v>141</v>
      </c>
      <c r="KY133" s="362" t="s">
        <v>140</v>
      </c>
      <c r="KZ133" s="363" t="s">
        <v>141</v>
      </c>
      <c r="LA133" s="362" t="s">
        <v>140</v>
      </c>
      <c r="LB133" s="363" t="s">
        <v>141</v>
      </c>
      <c r="LC133" s="362" t="s">
        <v>140</v>
      </c>
      <c r="LD133" s="363" t="s">
        <v>141</v>
      </c>
      <c r="LE133" s="362" t="s">
        <v>140</v>
      </c>
      <c r="LF133" s="363" t="s">
        <v>141</v>
      </c>
      <c r="LG133" s="362" t="s">
        <v>140</v>
      </c>
      <c r="LH133" s="363" t="s">
        <v>141</v>
      </c>
      <c r="LI133" s="362" t="s">
        <v>140</v>
      </c>
      <c r="LJ133" s="363" t="s">
        <v>141</v>
      </c>
      <c r="LK133" s="362" t="s">
        <v>140</v>
      </c>
      <c r="LL133" s="363" t="s">
        <v>141</v>
      </c>
      <c r="LM133" s="362" t="s">
        <v>140</v>
      </c>
      <c r="LN133" s="363" t="s">
        <v>141</v>
      </c>
      <c r="LO133" s="362" t="s">
        <v>140</v>
      </c>
      <c r="LP133" s="363" t="s">
        <v>141</v>
      </c>
      <c r="LQ133" s="362" t="s">
        <v>140</v>
      </c>
      <c r="LR133" s="363" t="s">
        <v>141</v>
      </c>
      <c r="LS133" s="362" t="s">
        <v>140</v>
      </c>
      <c r="LT133" s="363" t="s">
        <v>141</v>
      </c>
      <c r="LU133" s="362" t="s">
        <v>140</v>
      </c>
      <c r="LV133" s="363" t="s">
        <v>141</v>
      </c>
      <c r="LW133" s="362" t="s">
        <v>140</v>
      </c>
      <c r="LX133" s="363" t="s">
        <v>141</v>
      </c>
      <c r="LY133" s="362" t="s">
        <v>140</v>
      </c>
      <c r="LZ133" s="363" t="s">
        <v>141</v>
      </c>
      <c r="MA133" s="362" t="s">
        <v>140</v>
      </c>
      <c r="MB133" s="363" t="s">
        <v>141</v>
      </c>
      <c r="MC133" s="362" t="s">
        <v>140</v>
      </c>
      <c r="MD133" s="363" t="s">
        <v>141</v>
      </c>
      <c r="ME133" s="362" t="s">
        <v>140</v>
      </c>
      <c r="MF133" s="363" t="s">
        <v>141</v>
      </c>
      <c r="MG133" s="362" t="s">
        <v>140</v>
      </c>
      <c r="MH133" s="363" t="s">
        <v>141</v>
      </c>
      <c r="MI133" s="362" t="s">
        <v>140</v>
      </c>
      <c r="MJ133" s="363" t="s">
        <v>141</v>
      </c>
      <c r="MK133" s="362" t="s">
        <v>140</v>
      </c>
      <c r="ML133" s="363" t="s">
        <v>141</v>
      </c>
      <c r="MM133" s="362" t="s">
        <v>140</v>
      </c>
      <c r="MN133" s="363" t="s">
        <v>141</v>
      </c>
      <c r="MO133" s="362" t="s">
        <v>140</v>
      </c>
      <c r="MP133" s="363" t="s">
        <v>141</v>
      </c>
      <c r="MQ133" s="362" t="s">
        <v>140</v>
      </c>
      <c r="MR133" s="363" t="s">
        <v>141</v>
      </c>
      <c r="MS133" s="362" t="s">
        <v>140</v>
      </c>
      <c r="MT133" s="363" t="s">
        <v>141</v>
      </c>
      <c r="MU133" s="362" t="s">
        <v>140</v>
      </c>
      <c r="MV133" s="363" t="s">
        <v>141</v>
      </c>
      <c r="MW133" s="362" t="s">
        <v>140</v>
      </c>
      <c r="MX133" s="363" t="s">
        <v>141</v>
      </c>
      <c r="MY133" s="362" t="s">
        <v>140</v>
      </c>
      <c r="MZ133" s="363" t="s">
        <v>141</v>
      </c>
      <c r="NA133" s="362" t="s">
        <v>140</v>
      </c>
      <c r="NB133" s="363" t="s">
        <v>141</v>
      </c>
      <c r="NC133" s="362" t="s">
        <v>140</v>
      </c>
      <c r="ND133" s="363" t="s">
        <v>141</v>
      </c>
      <c r="NE133" s="362" t="s">
        <v>140</v>
      </c>
      <c r="NF133" s="363" t="s">
        <v>141</v>
      </c>
      <c r="NG133" s="362" t="s">
        <v>140</v>
      </c>
      <c r="NH133" s="363" t="s">
        <v>141</v>
      </c>
      <c r="NI133" s="362" t="s">
        <v>140</v>
      </c>
      <c r="NJ133" s="363" t="s">
        <v>141</v>
      </c>
      <c r="NK133" s="362" t="s">
        <v>140</v>
      </c>
      <c r="NL133" s="363" t="s">
        <v>141</v>
      </c>
      <c r="NM133" s="362" t="s">
        <v>140</v>
      </c>
      <c r="NN133" s="363" t="s">
        <v>141</v>
      </c>
      <c r="NO133" s="362" t="s">
        <v>140</v>
      </c>
      <c r="NP133" s="363" t="s">
        <v>141</v>
      </c>
      <c r="NQ133" s="362" t="s">
        <v>140</v>
      </c>
      <c r="NR133" s="363" t="s">
        <v>141</v>
      </c>
      <c r="NS133" s="362" t="s">
        <v>140</v>
      </c>
      <c r="NT133" s="363" t="s">
        <v>141</v>
      </c>
      <c r="NU133" s="362" t="s">
        <v>140</v>
      </c>
      <c r="NV133" s="363" t="s">
        <v>141</v>
      </c>
      <c r="NW133" s="362" t="s">
        <v>140</v>
      </c>
      <c r="NX133" s="363" t="s">
        <v>141</v>
      </c>
      <c r="NY133" s="362" t="s">
        <v>140</v>
      </c>
      <c r="NZ133" s="363" t="s">
        <v>141</v>
      </c>
      <c r="OA133" s="362" t="s">
        <v>140</v>
      </c>
      <c r="OB133" s="363" t="s">
        <v>141</v>
      </c>
      <c r="OC133" s="362" t="s">
        <v>140</v>
      </c>
      <c r="OD133" s="363" t="s">
        <v>141</v>
      </c>
      <c r="OE133" s="362" t="s">
        <v>140</v>
      </c>
      <c r="OF133" s="363" t="s">
        <v>141</v>
      </c>
      <c r="OG133" s="362" t="s">
        <v>140</v>
      </c>
      <c r="OH133" s="363" t="s">
        <v>141</v>
      </c>
    </row>
    <row r="134" spans="1:399" s="20" customFormat="1" ht="13.5" thickBot="1">
      <c r="D134" s="82"/>
      <c r="E134" s="82"/>
      <c r="F134" s="82"/>
      <c r="G134" s="44"/>
      <c r="H134" s="67"/>
      <c r="K134" s="17"/>
      <c r="L134" s="17"/>
      <c r="O134" s="17"/>
      <c r="Z134" s="17"/>
      <c r="AL134" s="17"/>
      <c r="AN134" s="17"/>
      <c r="AO134" s="17"/>
      <c r="BC134" s="15"/>
      <c r="BD134" s="15"/>
      <c r="BE134" s="15"/>
      <c r="BF134" s="15"/>
      <c r="BG134" s="15"/>
      <c r="BH134" s="15"/>
      <c r="BI134" s="15"/>
      <c r="BJ134" s="15"/>
      <c r="BK134" s="15"/>
      <c r="BL134" s="15"/>
      <c r="BZ134" s="60"/>
      <c r="CB134" s="292"/>
      <c r="CF134" s="58" t="s">
        <v>25</v>
      </c>
      <c r="CG134" s="123" t="s">
        <v>46</v>
      </c>
      <c r="CH134" s="571">
        <v>0.7</v>
      </c>
      <c r="CI134" s="571">
        <v>0.69</v>
      </c>
      <c r="CJ134" s="571">
        <v>0.69</v>
      </c>
      <c r="CK134" s="571">
        <v>0.7</v>
      </c>
      <c r="CL134" s="571">
        <v>0.64</v>
      </c>
      <c r="CM134" s="571">
        <v>0.67</v>
      </c>
      <c r="CY134" s="645"/>
      <c r="CZ134" s="558"/>
      <c r="DA134" s="194">
        <v>42014</v>
      </c>
      <c r="DB134" s="208">
        <v>42015</v>
      </c>
      <c r="DC134" s="194">
        <v>42021</v>
      </c>
      <c r="DD134" s="208">
        <v>42022</v>
      </c>
      <c r="DE134" s="194">
        <v>42028</v>
      </c>
      <c r="DF134" s="208">
        <v>42029</v>
      </c>
      <c r="DG134" s="194">
        <v>42035</v>
      </c>
      <c r="DH134" s="208">
        <v>42036</v>
      </c>
      <c r="DI134" s="194">
        <v>42042</v>
      </c>
      <c r="DJ134" s="208">
        <v>42043</v>
      </c>
      <c r="DK134" s="194">
        <v>42049</v>
      </c>
      <c r="DL134" s="208">
        <v>42050</v>
      </c>
      <c r="DM134" s="194">
        <v>42056</v>
      </c>
      <c r="DN134" s="208">
        <v>42057</v>
      </c>
      <c r="DO134" s="194">
        <v>42063</v>
      </c>
      <c r="DP134" s="208">
        <v>42064</v>
      </c>
      <c r="DQ134" s="194">
        <v>42070</v>
      </c>
      <c r="DR134" s="208">
        <v>42071</v>
      </c>
      <c r="DS134" s="194">
        <v>42077</v>
      </c>
      <c r="DT134" s="208">
        <v>42078</v>
      </c>
      <c r="DU134" s="194">
        <v>42084</v>
      </c>
      <c r="DV134" s="208">
        <v>42085</v>
      </c>
      <c r="DW134" s="194">
        <v>42091</v>
      </c>
      <c r="DX134" s="208">
        <v>42092</v>
      </c>
      <c r="DY134" s="194">
        <v>42098</v>
      </c>
      <c r="DZ134" s="208">
        <v>42099</v>
      </c>
      <c r="EA134" s="194">
        <v>42105</v>
      </c>
      <c r="EB134" s="208">
        <v>42106</v>
      </c>
      <c r="EC134" s="194">
        <v>42112</v>
      </c>
      <c r="ED134" s="208">
        <v>42113</v>
      </c>
      <c r="EE134" s="194">
        <v>42119</v>
      </c>
      <c r="EF134" s="208">
        <v>42120</v>
      </c>
      <c r="EG134" s="304">
        <v>42126</v>
      </c>
      <c r="EH134" s="307">
        <v>42127</v>
      </c>
      <c r="EI134" s="304">
        <v>42133</v>
      </c>
      <c r="EJ134" s="307">
        <v>42134</v>
      </c>
      <c r="EK134" s="304">
        <v>42140</v>
      </c>
      <c r="EL134" s="307">
        <v>42141</v>
      </c>
      <c r="EM134" s="304">
        <v>42147</v>
      </c>
      <c r="EN134" s="307">
        <v>42148</v>
      </c>
      <c r="EO134" s="304">
        <v>42154</v>
      </c>
      <c r="EP134" s="307">
        <v>42155</v>
      </c>
      <c r="EQ134" s="304">
        <v>42161</v>
      </c>
      <c r="ER134" s="307">
        <v>42162</v>
      </c>
      <c r="ES134" s="304">
        <v>42168</v>
      </c>
      <c r="ET134" s="307">
        <v>42169</v>
      </c>
      <c r="EU134" s="304">
        <v>42175</v>
      </c>
      <c r="EV134" s="307">
        <v>42176</v>
      </c>
      <c r="EW134" s="304">
        <v>42182</v>
      </c>
      <c r="EX134" s="307">
        <v>42183</v>
      </c>
      <c r="EY134" s="194">
        <v>42189</v>
      </c>
      <c r="EZ134" s="208">
        <v>42190</v>
      </c>
      <c r="FA134" s="304">
        <v>42196</v>
      </c>
      <c r="FB134" s="307">
        <v>42197</v>
      </c>
      <c r="FC134" s="304">
        <v>42203</v>
      </c>
      <c r="FD134" s="307">
        <v>42204</v>
      </c>
      <c r="FE134" s="304">
        <v>42210</v>
      </c>
      <c r="FF134" s="307">
        <v>42211</v>
      </c>
      <c r="FG134" s="304">
        <v>42217</v>
      </c>
      <c r="FH134" s="307">
        <v>42218</v>
      </c>
      <c r="FI134" s="304">
        <v>42224</v>
      </c>
      <c r="FJ134" s="307">
        <v>42225</v>
      </c>
      <c r="FK134" s="304">
        <v>42231</v>
      </c>
      <c r="FL134" s="307">
        <v>42232</v>
      </c>
      <c r="FM134" s="304">
        <v>42238</v>
      </c>
      <c r="FN134" s="307">
        <v>42239</v>
      </c>
      <c r="FO134" s="304">
        <v>42245</v>
      </c>
      <c r="FP134" s="307">
        <v>42246</v>
      </c>
      <c r="FQ134" s="304">
        <v>42252</v>
      </c>
      <c r="FR134" s="307">
        <v>42253</v>
      </c>
      <c r="FS134" s="304">
        <v>42259</v>
      </c>
      <c r="FT134" s="307">
        <v>42260</v>
      </c>
      <c r="FU134" s="304">
        <v>42266</v>
      </c>
      <c r="FV134" s="307">
        <v>42267</v>
      </c>
      <c r="FW134" s="304">
        <v>42273</v>
      </c>
      <c r="FX134" s="307">
        <v>42274</v>
      </c>
      <c r="FY134" s="304">
        <v>42280</v>
      </c>
      <c r="FZ134" s="307">
        <v>42281</v>
      </c>
      <c r="GA134" s="304">
        <v>42287</v>
      </c>
      <c r="GB134" s="307">
        <v>42288</v>
      </c>
      <c r="GC134" s="304">
        <v>42294</v>
      </c>
      <c r="GD134" s="307">
        <v>42295</v>
      </c>
      <c r="GE134" s="304">
        <v>42301</v>
      </c>
      <c r="GF134" s="307">
        <v>42302</v>
      </c>
      <c r="GG134" s="304">
        <v>42308</v>
      </c>
      <c r="GH134" s="307">
        <v>42309</v>
      </c>
      <c r="GI134" s="304">
        <v>42315</v>
      </c>
      <c r="GJ134" s="307">
        <v>42316</v>
      </c>
      <c r="GK134" s="304">
        <v>42322</v>
      </c>
      <c r="GL134" s="307">
        <v>42323</v>
      </c>
      <c r="GM134" s="304">
        <v>42329</v>
      </c>
      <c r="GN134" s="307">
        <v>42330</v>
      </c>
      <c r="GO134" s="304">
        <v>42336</v>
      </c>
      <c r="GP134" s="307">
        <v>42337</v>
      </c>
      <c r="GQ134" s="304">
        <v>42343</v>
      </c>
      <c r="GR134" s="307">
        <v>42344</v>
      </c>
      <c r="GS134" s="304">
        <v>42350</v>
      </c>
      <c r="GT134" s="307">
        <v>42351</v>
      </c>
      <c r="GU134" s="304">
        <v>42357</v>
      </c>
      <c r="GV134" s="307">
        <v>42358</v>
      </c>
      <c r="GW134" s="304">
        <v>42364</v>
      </c>
      <c r="GX134" s="307">
        <v>42365</v>
      </c>
      <c r="GY134" s="304">
        <v>42371</v>
      </c>
      <c r="GZ134" s="307">
        <v>42372</v>
      </c>
      <c r="HA134" s="304">
        <v>42378</v>
      </c>
      <c r="HB134" s="307">
        <v>42379</v>
      </c>
      <c r="HC134" s="304">
        <v>42385</v>
      </c>
      <c r="HD134" s="307">
        <v>42386</v>
      </c>
      <c r="HE134" s="304">
        <v>42392</v>
      </c>
      <c r="HF134" s="307">
        <v>42393</v>
      </c>
      <c r="HG134" s="304">
        <v>42399</v>
      </c>
      <c r="HH134" s="307">
        <v>42400</v>
      </c>
      <c r="HI134" s="304">
        <v>42406</v>
      </c>
      <c r="HJ134" s="307">
        <v>42407</v>
      </c>
      <c r="HK134" s="304">
        <v>42413</v>
      </c>
      <c r="HL134" s="307">
        <v>42414</v>
      </c>
      <c r="HM134" s="304">
        <v>42420</v>
      </c>
      <c r="HN134" s="307">
        <v>42421</v>
      </c>
      <c r="HO134" s="304">
        <v>42427</v>
      </c>
      <c r="HP134" s="307">
        <v>42428</v>
      </c>
      <c r="HQ134" s="304">
        <v>42434</v>
      </c>
      <c r="HR134" s="307">
        <v>42435</v>
      </c>
      <c r="HS134" s="304">
        <v>42441</v>
      </c>
      <c r="HT134" s="307">
        <v>42442</v>
      </c>
      <c r="HU134" s="304">
        <v>42448</v>
      </c>
      <c r="HV134" s="307">
        <v>42449</v>
      </c>
      <c r="HW134" s="304">
        <v>42455</v>
      </c>
      <c r="HX134" s="307">
        <v>42456</v>
      </c>
      <c r="HY134" s="304">
        <v>42462</v>
      </c>
      <c r="HZ134" s="307">
        <v>42463</v>
      </c>
      <c r="IA134" s="304">
        <v>42469</v>
      </c>
      <c r="IB134" s="307">
        <v>42470</v>
      </c>
      <c r="IC134" s="304">
        <v>42476</v>
      </c>
      <c r="ID134" s="307">
        <v>42477</v>
      </c>
      <c r="IE134" s="304">
        <v>42483</v>
      </c>
      <c r="IF134" s="307">
        <v>42484</v>
      </c>
      <c r="IG134" s="304">
        <v>42490</v>
      </c>
      <c r="IH134" s="307">
        <v>42491</v>
      </c>
      <c r="II134" s="304">
        <v>42497</v>
      </c>
      <c r="IJ134" s="307">
        <v>42498</v>
      </c>
      <c r="IK134" s="304">
        <v>42504</v>
      </c>
      <c r="IL134" s="307">
        <v>42505</v>
      </c>
      <c r="IM134" s="304">
        <v>42511</v>
      </c>
      <c r="IN134" s="307">
        <v>42512</v>
      </c>
      <c r="IO134" s="304">
        <v>42518</v>
      </c>
      <c r="IP134" s="307">
        <v>42519</v>
      </c>
      <c r="IQ134" s="304">
        <v>42525</v>
      </c>
      <c r="IR134" s="307">
        <v>42526</v>
      </c>
      <c r="IS134" s="304">
        <v>42532</v>
      </c>
      <c r="IT134" s="307">
        <v>42533</v>
      </c>
      <c r="IU134" s="304">
        <v>42539</v>
      </c>
      <c r="IV134" s="307">
        <v>42540</v>
      </c>
      <c r="IW134" s="304">
        <v>42546</v>
      </c>
      <c r="IX134" s="307">
        <v>42547</v>
      </c>
      <c r="IY134" s="304">
        <v>42553</v>
      </c>
      <c r="IZ134" s="307">
        <v>42554</v>
      </c>
      <c r="JA134" s="364">
        <v>42560</v>
      </c>
      <c r="JB134" s="365">
        <v>42561</v>
      </c>
      <c r="JC134" s="364">
        <v>42567</v>
      </c>
      <c r="JD134" s="365">
        <v>42568</v>
      </c>
      <c r="JE134" s="364">
        <v>42581</v>
      </c>
      <c r="JF134" s="365">
        <v>42582</v>
      </c>
      <c r="JG134" s="364">
        <v>42588</v>
      </c>
      <c r="JH134" s="365">
        <v>42589</v>
      </c>
      <c r="JI134" s="364">
        <v>42595</v>
      </c>
      <c r="JJ134" s="365">
        <v>42596</v>
      </c>
      <c r="JK134" s="364">
        <v>42602</v>
      </c>
      <c r="JL134" s="365">
        <v>42603</v>
      </c>
      <c r="JM134" s="364">
        <v>42609</v>
      </c>
      <c r="JN134" s="365">
        <v>42610</v>
      </c>
      <c r="JO134" s="364">
        <v>42616</v>
      </c>
      <c r="JP134" s="365">
        <v>42617</v>
      </c>
      <c r="JQ134" s="364">
        <v>42623</v>
      </c>
      <c r="JR134" s="365">
        <v>42624</v>
      </c>
      <c r="JS134" s="364">
        <v>42630</v>
      </c>
      <c r="JT134" s="365">
        <v>42631</v>
      </c>
      <c r="JU134" s="364">
        <v>42637</v>
      </c>
      <c r="JV134" s="365">
        <v>42638</v>
      </c>
      <c r="JW134" s="364">
        <v>42644</v>
      </c>
      <c r="JX134" s="365">
        <v>42645</v>
      </c>
      <c r="JY134" s="364">
        <v>42651</v>
      </c>
      <c r="JZ134" s="365">
        <v>42652</v>
      </c>
      <c r="KA134" s="364">
        <v>42658</v>
      </c>
      <c r="KB134" s="365">
        <v>42659</v>
      </c>
      <c r="KC134" s="364">
        <v>42672</v>
      </c>
      <c r="KD134" s="365">
        <v>42673</v>
      </c>
      <c r="KE134" s="364">
        <v>42679</v>
      </c>
      <c r="KF134" s="365">
        <v>42680</v>
      </c>
      <c r="KG134" s="364">
        <v>42686</v>
      </c>
      <c r="KH134" s="365">
        <v>42687</v>
      </c>
      <c r="KI134" s="364">
        <v>42693</v>
      </c>
      <c r="KJ134" s="365">
        <v>42694</v>
      </c>
      <c r="KK134" s="364">
        <v>42700</v>
      </c>
      <c r="KL134" s="365">
        <v>42701</v>
      </c>
      <c r="KM134" s="364">
        <v>42707</v>
      </c>
      <c r="KN134" s="365">
        <v>42708</v>
      </c>
      <c r="KO134" s="364">
        <v>42714</v>
      </c>
      <c r="KP134" s="365">
        <v>42715</v>
      </c>
      <c r="KQ134" s="364">
        <v>42721</v>
      </c>
      <c r="KR134" s="365">
        <v>42722</v>
      </c>
      <c r="KS134" s="364">
        <v>42728</v>
      </c>
      <c r="KT134" s="365">
        <v>42729</v>
      </c>
      <c r="KU134" s="364">
        <v>42735</v>
      </c>
      <c r="KV134" s="365">
        <v>42370</v>
      </c>
      <c r="KW134" s="364">
        <v>42742</v>
      </c>
      <c r="KX134" s="365">
        <v>42743</v>
      </c>
      <c r="KY134" s="364">
        <f>KW134+7</f>
        <v>42749</v>
      </c>
      <c r="KZ134" s="365">
        <f>KX134+7</f>
        <v>42750</v>
      </c>
      <c r="LA134" s="364">
        <f t="shared" ref="LA134:LB134" si="44">KY134+7</f>
        <v>42756</v>
      </c>
      <c r="LB134" s="365">
        <f t="shared" si="44"/>
        <v>42757</v>
      </c>
      <c r="LC134" s="364">
        <f t="shared" ref="LC134" si="45">LA134+7</f>
        <v>42763</v>
      </c>
      <c r="LD134" s="365">
        <f t="shared" ref="LD134" si="46">LB134+7</f>
        <v>42764</v>
      </c>
      <c r="LE134" s="364">
        <f t="shared" ref="LE134" si="47">LC134+7</f>
        <v>42770</v>
      </c>
      <c r="LF134" s="365">
        <f t="shared" ref="LF134" si="48">LD134+7</f>
        <v>42771</v>
      </c>
      <c r="LG134" s="364">
        <f t="shared" ref="LG134" si="49">LE134+7</f>
        <v>42777</v>
      </c>
      <c r="LH134" s="365">
        <f t="shared" ref="LH134" si="50">LF134+7</f>
        <v>42778</v>
      </c>
      <c r="LI134" s="364">
        <f t="shared" ref="LI134:LR134" si="51">LG134+7</f>
        <v>42784</v>
      </c>
      <c r="LJ134" s="365">
        <f t="shared" si="51"/>
        <v>42785</v>
      </c>
      <c r="LK134" s="364">
        <f t="shared" si="51"/>
        <v>42791</v>
      </c>
      <c r="LL134" s="365">
        <f t="shared" si="51"/>
        <v>42792</v>
      </c>
      <c r="LM134" s="364">
        <f t="shared" si="51"/>
        <v>42798</v>
      </c>
      <c r="LN134" s="365">
        <f t="shared" si="51"/>
        <v>42799</v>
      </c>
      <c r="LO134" s="364">
        <f t="shared" si="51"/>
        <v>42805</v>
      </c>
      <c r="LP134" s="365">
        <f t="shared" si="51"/>
        <v>42806</v>
      </c>
      <c r="LQ134" s="364">
        <f t="shared" si="51"/>
        <v>42812</v>
      </c>
      <c r="LR134" s="365">
        <f t="shared" si="51"/>
        <v>42813</v>
      </c>
      <c r="LS134" s="364">
        <f t="shared" ref="LS134" si="52">LQ134+7</f>
        <v>42819</v>
      </c>
      <c r="LT134" s="365">
        <f t="shared" ref="LT134" si="53">LR134+7</f>
        <v>42820</v>
      </c>
      <c r="LU134" s="364">
        <f t="shared" ref="LU134" si="54">LS134+7</f>
        <v>42826</v>
      </c>
      <c r="LV134" s="365">
        <f t="shared" ref="LV134" si="55">LT134+7</f>
        <v>42827</v>
      </c>
      <c r="LW134" s="364">
        <f t="shared" ref="LW134" si="56">LU134+7</f>
        <v>42833</v>
      </c>
      <c r="LX134" s="365">
        <f t="shared" ref="LX134" si="57">LV134+7</f>
        <v>42834</v>
      </c>
      <c r="LY134" s="364">
        <f t="shared" ref="LY134" si="58">LW134+7</f>
        <v>42840</v>
      </c>
      <c r="LZ134" s="365">
        <f t="shared" ref="LZ134" si="59">LX134+7</f>
        <v>42841</v>
      </c>
      <c r="MA134" s="364">
        <f t="shared" ref="MA134" si="60">LY134+7</f>
        <v>42847</v>
      </c>
      <c r="MB134" s="365">
        <f t="shared" ref="MB134" si="61">LZ134+7</f>
        <v>42848</v>
      </c>
      <c r="MC134" s="364">
        <f t="shared" ref="MC134" si="62">MA134+7</f>
        <v>42854</v>
      </c>
      <c r="MD134" s="365">
        <f t="shared" ref="MD134" si="63">MB134+7</f>
        <v>42855</v>
      </c>
      <c r="ME134" s="364">
        <f t="shared" ref="ME134:MH134" si="64">MC134+7</f>
        <v>42861</v>
      </c>
      <c r="MF134" s="365">
        <f t="shared" si="64"/>
        <v>42862</v>
      </c>
      <c r="MG134" s="364">
        <f t="shared" si="64"/>
        <v>42868</v>
      </c>
      <c r="MH134" s="365">
        <f t="shared" si="64"/>
        <v>42869</v>
      </c>
      <c r="MI134" s="364">
        <f t="shared" ref="MI134" si="65">MG134+7</f>
        <v>42875</v>
      </c>
      <c r="MJ134" s="365">
        <f t="shared" ref="MJ134" si="66">MH134+7</f>
        <v>42876</v>
      </c>
      <c r="MK134" s="364">
        <f t="shared" ref="MK134" si="67">MI134+7</f>
        <v>42882</v>
      </c>
      <c r="ML134" s="365">
        <f t="shared" ref="ML134" si="68">MJ134+7</f>
        <v>42883</v>
      </c>
      <c r="MM134" s="364">
        <f t="shared" ref="MM134" si="69">MK134+7</f>
        <v>42889</v>
      </c>
      <c r="MN134" s="365">
        <f t="shared" ref="MN134" si="70">ML134+7</f>
        <v>42890</v>
      </c>
      <c r="MO134" s="364">
        <f t="shared" ref="MO134:MR134" si="71">MM134+7</f>
        <v>42896</v>
      </c>
      <c r="MP134" s="365">
        <f t="shared" si="71"/>
        <v>42897</v>
      </c>
      <c r="MQ134" s="364">
        <f t="shared" si="71"/>
        <v>42903</v>
      </c>
      <c r="MR134" s="365">
        <f t="shared" si="71"/>
        <v>42904</v>
      </c>
      <c r="MS134" s="364">
        <f t="shared" ref="MS134:MV134" si="72">MQ134+7</f>
        <v>42910</v>
      </c>
      <c r="MT134" s="365">
        <f t="shared" si="72"/>
        <v>42911</v>
      </c>
      <c r="MU134" s="364">
        <f t="shared" si="72"/>
        <v>42917</v>
      </c>
      <c r="MV134" s="365">
        <f t="shared" si="72"/>
        <v>42918</v>
      </c>
      <c r="MW134" s="364">
        <f t="shared" ref="MW134" si="73">MU134+7</f>
        <v>42924</v>
      </c>
      <c r="MX134" s="365">
        <f t="shared" ref="MX134" si="74">MV134+7</f>
        <v>42925</v>
      </c>
      <c r="MY134" s="364">
        <f t="shared" ref="MY134" si="75">MW134+7</f>
        <v>42931</v>
      </c>
      <c r="MZ134" s="365">
        <f t="shared" ref="MZ134" si="76">MX134+7</f>
        <v>42932</v>
      </c>
      <c r="NA134" s="364">
        <f t="shared" ref="NA134" si="77">MY134+7</f>
        <v>42938</v>
      </c>
      <c r="NB134" s="365">
        <f t="shared" ref="NB134" si="78">MZ134+7</f>
        <v>42939</v>
      </c>
      <c r="NC134" s="364">
        <f t="shared" ref="NC134" si="79">NA134+7</f>
        <v>42945</v>
      </c>
      <c r="ND134" s="365">
        <f t="shared" ref="ND134" si="80">NB134+7</f>
        <v>42946</v>
      </c>
      <c r="NE134" s="364">
        <f t="shared" ref="NE134" si="81">NC134+7</f>
        <v>42952</v>
      </c>
      <c r="NF134" s="365">
        <f t="shared" ref="NF134" si="82">ND134+7</f>
        <v>42953</v>
      </c>
      <c r="NG134" s="364">
        <f t="shared" ref="NG134" si="83">NE134+7</f>
        <v>42959</v>
      </c>
      <c r="NH134" s="365">
        <f t="shared" ref="NH134" si="84">NF134+7</f>
        <v>42960</v>
      </c>
      <c r="NI134" s="364">
        <f>NG134+7</f>
        <v>42966</v>
      </c>
      <c r="NJ134" s="365">
        <f>NH134+7</f>
        <v>42967</v>
      </c>
      <c r="NK134" s="364">
        <f t="shared" ref="NK134:NL134" si="85">NI134+7</f>
        <v>42973</v>
      </c>
      <c r="NL134" s="365">
        <f t="shared" si="85"/>
        <v>42974</v>
      </c>
      <c r="NM134" s="364">
        <f t="shared" ref="NM134" si="86">NK134+7</f>
        <v>42980</v>
      </c>
      <c r="NN134" s="365">
        <f t="shared" ref="NN134" si="87">NL134+7</f>
        <v>42981</v>
      </c>
      <c r="NO134" s="364">
        <f t="shared" ref="NO134" si="88">NM134+7</f>
        <v>42987</v>
      </c>
      <c r="NP134" s="365">
        <f t="shared" ref="NP134" si="89">NN134+7</f>
        <v>42988</v>
      </c>
      <c r="NQ134" s="364">
        <f t="shared" ref="NQ134" si="90">NO134+7</f>
        <v>42994</v>
      </c>
      <c r="NR134" s="365">
        <f t="shared" ref="NR134" si="91">NP134+7</f>
        <v>42995</v>
      </c>
      <c r="NS134" s="364">
        <f t="shared" ref="NS134" si="92">NQ134+7</f>
        <v>43001</v>
      </c>
      <c r="NT134" s="365">
        <f t="shared" ref="NT134" si="93">NR134+7</f>
        <v>43002</v>
      </c>
      <c r="NU134" s="364">
        <f>NS134+7</f>
        <v>43008</v>
      </c>
      <c r="NV134" s="365">
        <f>NT134+7</f>
        <v>43009</v>
      </c>
      <c r="NW134" s="364">
        <f t="shared" ref="NW134" si="94">NU134+7</f>
        <v>43015</v>
      </c>
      <c r="NX134" s="365">
        <f t="shared" ref="NX134:NZ134" si="95">NV134+7</f>
        <v>43016</v>
      </c>
      <c r="NY134" s="364">
        <f t="shared" si="95"/>
        <v>43022</v>
      </c>
      <c r="NZ134" s="365">
        <f t="shared" si="95"/>
        <v>43023</v>
      </c>
      <c r="OA134" s="364">
        <f t="shared" ref="OA134" si="96">NY134+7</f>
        <v>43029</v>
      </c>
      <c r="OB134" s="365">
        <f t="shared" ref="OB134" si="97">NZ134+7</f>
        <v>43030</v>
      </c>
      <c r="OC134" s="364">
        <f t="shared" ref="OC134" si="98">OA134+7</f>
        <v>43036</v>
      </c>
      <c r="OD134" s="365">
        <f t="shared" ref="OD134" si="99">OB134+7</f>
        <v>43037</v>
      </c>
      <c r="OE134" s="364">
        <f t="shared" ref="OE134" si="100">OC134+7</f>
        <v>43043</v>
      </c>
      <c r="OF134" s="365">
        <f t="shared" ref="OF134" si="101">OD134+7</f>
        <v>43044</v>
      </c>
      <c r="OG134" s="364">
        <f t="shared" ref="OG134" si="102">OE134+7</f>
        <v>43050</v>
      </c>
      <c r="OH134" s="365">
        <f t="shared" ref="OH134" si="103">OF134+7</f>
        <v>43051</v>
      </c>
    </row>
    <row r="135" spans="1:399" s="20" customFormat="1" ht="13.5" customHeight="1" thickTop="1">
      <c r="D135" s="82"/>
      <c r="E135" s="82"/>
      <c r="F135" s="82"/>
      <c r="G135" s="44"/>
      <c r="H135" s="67"/>
      <c r="K135" s="17"/>
      <c r="L135" s="17"/>
      <c r="O135" s="17"/>
      <c r="Z135" s="17"/>
      <c r="AL135" s="17"/>
      <c r="AN135" s="17"/>
      <c r="AO135" s="17"/>
      <c r="BC135" s="15"/>
      <c r="BD135" s="15"/>
      <c r="BE135" s="15"/>
      <c r="BF135" s="15"/>
      <c r="BG135" s="15"/>
      <c r="BH135" s="15"/>
      <c r="BI135" s="15"/>
      <c r="BJ135" s="15"/>
      <c r="BK135" s="15"/>
      <c r="BL135" s="15"/>
      <c r="BZ135" s="60"/>
      <c r="CB135" s="292"/>
      <c r="CF135" s="438"/>
      <c r="CG135" s="439" t="s">
        <v>51</v>
      </c>
      <c r="CH135" s="574">
        <v>0.3</v>
      </c>
      <c r="CI135" s="574">
        <v>0.31</v>
      </c>
      <c r="CJ135" s="574">
        <v>0.31</v>
      </c>
      <c r="CK135" s="574">
        <v>0.3</v>
      </c>
      <c r="CL135" s="574">
        <v>0.36</v>
      </c>
      <c r="CM135" s="574">
        <v>0.33</v>
      </c>
      <c r="CZ135" s="350" t="s">
        <v>224</v>
      </c>
      <c r="DA135" s="351"/>
      <c r="DB135" s="352"/>
      <c r="DC135" s="351"/>
      <c r="DD135" s="352"/>
      <c r="DE135" s="351" t="s">
        <v>142</v>
      </c>
      <c r="DF135" s="352"/>
      <c r="DG135" s="351"/>
      <c r="DH135" s="352"/>
      <c r="DI135" s="351"/>
      <c r="DJ135" s="352"/>
      <c r="DK135" s="351"/>
      <c r="DL135" s="352"/>
      <c r="DM135" s="351"/>
      <c r="DN135" s="352" t="s">
        <v>142</v>
      </c>
      <c r="DO135" s="351"/>
      <c r="DP135" s="352" t="s">
        <v>142</v>
      </c>
      <c r="DQ135" s="351"/>
      <c r="DR135" s="352"/>
      <c r="DS135" s="351" t="s">
        <v>142</v>
      </c>
      <c r="DT135" s="352"/>
      <c r="DU135" s="351"/>
      <c r="DV135" s="352" t="s">
        <v>142</v>
      </c>
      <c r="DW135" s="351"/>
      <c r="DX135" s="352" t="s">
        <v>142</v>
      </c>
      <c r="DY135" s="351"/>
      <c r="DZ135" s="352"/>
      <c r="EA135" s="351"/>
      <c r="EB135" s="352"/>
      <c r="EC135" s="351"/>
      <c r="ED135" s="352"/>
      <c r="EE135" s="351" t="s">
        <v>142</v>
      </c>
      <c r="EF135" s="352"/>
      <c r="EG135" s="351"/>
      <c r="EH135" s="352"/>
      <c r="EI135" s="351"/>
      <c r="EJ135" s="352"/>
      <c r="EK135" s="351"/>
      <c r="EL135" s="352"/>
      <c r="EM135" s="351"/>
      <c r="EN135" s="352"/>
      <c r="EO135" s="351" t="s">
        <v>142</v>
      </c>
      <c r="EP135" s="352"/>
      <c r="EQ135" s="351"/>
      <c r="ER135" s="352" t="s">
        <v>142</v>
      </c>
      <c r="ES135" s="351"/>
      <c r="ET135" s="352"/>
      <c r="EU135" s="351"/>
      <c r="EV135" s="352"/>
      <c r="EW135" s="351"/>
      <c r="EX135" s="352"/>
      <c r="EY135" s="351"/>
      <c r="EZ135" s="352"/>
      <c r="FA135" s="351"/>
      <c r="FB135" s="352"/>
      <c r="FC135" s="351"/>
      <c r="FD135" s="352"/>
      <c r="FE135" s="351" t="s">
        <v>142</v>
      </c>
      <c r="FF135" s="352"/>
      <c r="FG135" s="351"/>
      <c r="FH135" s="352"/>
      <c r="FI135" s="351"/>
      <c r="FJ135" s="352"/>
      <c r="FK135" s="351"/>
      <c r="FL135" s="352"/>
      <c r="FM135" s="351"/>
      <c r="FN135" s="352" t="s">
        <v>142</v>
      </c>
      <c r="FO135" s="351"/>
      <c r="FP135" s="352"/>
      <c r="FQ135" s="351"/>
      <c r="FR135" s="352"/>
      <c r="FS135" s="351"/>
      <c r="FT135" s="352"/>
      <c r="FU135" s="351" t="s">
        <v>142</v>
      </c>
      <c r="FV135" s="352"/>
      <c r="FW135" s="351"/>
      <c r="FX135" s="352"/>
      <c r="FY135" s="351"/>
      <c r="FZ135" s="352"/>
      <c r="GA135" s="351"/>
      <c r="GB135" s="352" t="s">
        <v>142</v>
      </c>
      <c r="GC135" s="351"/>
      <c r="GD135" s="352"/>
      <c r="GE135" s="351"/>
      <c r="GF135" s="352"/>
      <c r="GG135" s="351"/>
      <c r="GH135" s="352"/>
      <c r="GI135" s="351"/>
      <c r="GJ135" s="352" t="s">
        <v>142</v>
      </c>
      <c r="GK135" s="351"/>
      <c r="GL135" s="352"/>
      <c r="GM135" s="351"/>
      <c r="GN135" s="352"/>
      <c r="GO135" s="351"/>
      <c r="GP135" s="352"/>
      <c r="GQ135" s="351" t="s">
        <v>142</v>
      </c>
      <c r="GR135" s="352"/>
      <c r="GS135" s="351"/>
      <c r="GT135" s="352"/>
      <c r="GU135" s="351"/>
      <c r="GV135" s="352"/>
      <c r="GW135" s="351"/>
      <c r="GX135" s="352"/>
      <c r="GY135" s="351"/>
      <c r="GZ135" s="352"/>
      <c r="HA135" s="351"/>
      <c r="HB135" s="352"/>
      <c r="HC135" s="351"/>
      <c r="HD135" s="352"/>
      <c r="HE135" s="351"/>
      <c r="HF135" s="352"/>
      <c r="HG135" s="351"/>
      <c r="HH135" s="352"/>
      <c r="HI135" s="351" t="s">
        <v>142</v>
      </c>
      <c r="HJ135" s="352"/>
      <c r="HK135" s="351"/>
      <c r="HL135" s="352"/>
      <c r="HM135" s="351"/>
      <c r="HN135" s="352"/>
      <c r="HO135" s="351"/>
      <c r="HP135" s="352"/>
      <c r="HQ135" s="351"/>
      <c r="HR135" s="352"/>
      <c r="HS135" s="351"/>
      <c r="HT135" s="352" t="s">
        <v>142</v>
      </c>
      <c r="HU135" s="351" t="s">
        <v>142</v>
      </c>
      <c r="HV135" s="352"/>
      <c r="HW135" s="351"/>
      <c r="HX135" s="352"/>
      <c r="HY135" s="351"/>
      <c r="HZ135" s="352"/>
      <c r="IA135" s="351"/>
      <c r="IB135" s="352"/>
      <c r="IC135" s="351"/>
      <c r="ID135" s="352"/>
      <c r="IE135" s="351"/>
      <c r="IF135" s="352"/>
      <c r="IG135" s="351"/>
      <c r="IH135" s="352"/>
      <c r="II135" s="351"/>
      <c r="IJ135" s="352"/>
      <c r="IK135" s="351"/>
      <c r="IL135" s="352"/>
      <c r="IM135" s="351"/>
      <c r="IN135" s="352"/>
      <c r="IO135" s="351"/>
      <c r="IP135" s="352"/>
      <c r="IQ135" s="351"/>
      <c r="IR135" s="352"/>
      <c r="IS135" s="351"/>
      <c r="IT135" s="352"/>
      <c r="IU135" s="351"/>
      <c r="IV135" s="352"/>
      <c r="IW135" s="351"/>
      <c r="IX135" s="352" t="s">
        <v>142</v>
      </c>
      <c r="IY135" s="351"/>
      <c r="IZ135" s="352"/>
      <c r="JA135" s="351"/>
      <c r="JB135" s="352"/>
      <c r="JC135" s="351"/>
      <c r="JD135" s="352"/>
      <c r="JE135" s="351"/>
      <c r="JF135" s="352"/>
      <c r="JG135" s="351"/>
      <c r="JH135" s="352"/>
      <c r="JI135" s="351"/>
      <c r="JJ135" s="352" t="s">
        <v>142</v>
      </c>
      <c r="JK135" s="351" t="s">
        <v>142</v>
      </c>
      <c r="JL135" s="352"/>
      <c r="JM135" s="351"/>
      <c r="JN135" s="352" t="s">
        <v>142</v>
      </c>
      <c r="JO135" s="351"/>
      <c r="JP135" s="352"/>
      <c r="JQ135" s="380"/>
      <c r="JR135" s="352"/>
      <c r="JS135" s="351"/>
      <c r="JT135" s="352"/>
      <c r="JU135" s="351"/>
      <c r="JV135" s="352"/>
      <c r="JW135" s="351"/>
      <c r="JX135" s="352" t="s">
        <v>142</v>
      </c>
      <c r="JY135" s="351"/>
      <c r="JZ135" s="352"/>
      <c r="KA135" s="351" t="s">
        <v>142</v>
      </c>
      <c r="KB135" s="352"/>
      <c r="KC135" s="351"/>
      <c r="KD135" s="352" t="s">
        <v>142</v>
      </c>
      <c r="KE135" s="351" t="s">
        <v>142</v>
      </c>
      <c r="KF135" s="352"/>
      <c r="KG135" s="351"/>
      <c r="KH135" s="352" t="s">
        <v>142</v>
      </c>
      <c r="KI135" s="351" t="s">
        <v>142</v>
      </c>
      <c r="KJ135" s="352"/>
      <c r="KK135" s="351"/>
      <c r="KL135" s="352" t="s">
        <v>142</v>
      </c>
      <c r="KM135" s="351" t="s">
        <v>142</v>
      </c>
      <c r="KN135" s="352"/>
      <c r="KO135" s="351"/>
      <c r="KP135" s="352" t="s">
        <v>142</v>
      </c>
      <c r="KQ135" s="351" t="s">
        <v>142</v>
      </c>
      <c r="KR135" s="352"/>
      <c r="KS135" s="351"/>
      <c r="KT135" s="352"/>
      <c r="KU135" s="351"/>
      <c r="KV135" s="352"/>
      <c r="KW135" s="351"/>
      <c r="KX135" s="352"/>
      <c r="KY135" s="351"/>
      <c r="KZ135" s="352"/>
      <c r="LA135" s="351"/>
      <c r="LB135" s="352"/>
      <c r="LC135" s="351"/>
      <c r="LD135" s="352"/>
      <c r="LE135" s="351"/>
      <c r="LF135" s="352"/>
      <c r="LG135" s="351"/>
      <c r="LH135" s="352"/>
      <c r="LI135" s="351"/>
      <c r="LJ135" s="352"/>
      <c r="LK135" s="351"/>
      <c r="LL135" s="352"/>
      <c r="LM135" s="351"/>
      <c r="LN135" s="352"/>
      <c r="LO135" s="351"/>
      <c r="LP135" s="352"/>
      <c r="LQ135" s="351"/>
      <c r="LR135" s="352"/>
      <c r="LS135" s="351"/>
      <c r="LT135" s="352"/>
      <c r="LU135" s="351"/>
      <c r="LV135" s="352"/>
      <c r="LW135" s="351"/>
      <c r="LX135" s="352"/>
      <c r="LY135" s="351"/>
      <c r="LZ135" s="352"/>
      <c r="MA135" s="351"/>
      <c r="MB135" s="352"/>
      <c r="MC135" s="351"/>
      <c r="MD135" s="352"/>
      <c r="ME135" s="351"/>
      <c r="MF135" s="352"/>
      <c r="MG135" s="351"/>
      <c r="MH135" s="352"/>
      <c r="MI135" s="351"/>
      <c r="MJ135" s="352"/>
      <c r="MK135" s="351"/>
      <c r="ML135" s="352"/>
      <c r="MM135" s="351"/>
      <c r="MN135" s="352"/>
      <c r="MO135" s="351"/>
      <c r="MP135" s="352"/>
      <c r="MQ135" s="351"/>
      <c r="MR135" s="352"/>
      <c r="MS135" s="351"/>
      <c r="MT135" s="352"/>
      <c r="MU135" s="351"/>
      <c r="MV135" s="352"/>
      <c r="MW135" s="351"/>
      <c r="MX135" s="352"/>
      <c r="MY135" s="351"/>
      <c r="MZ135" s="352"/>
      <c r="NA135" s="351"/>
      <c r="NB135" s="352"/>
      <c r="NC135" s="497"/>
      <c r="ND135" s="498"/>
      <c r="NE135" s="351"/>
      <c r="NF135" s="352"/>
      <c r="NG135" s="351"/>
      <c r="NH135" s="352"/>
      <c r="NI135" s="497"/>
      <c r="NJ135" s="498"/>
      <c r="NK135" s="497"/>
      <c r="NL135" s="498"/>
      <c r="NM135" s="497"/>
      <c r="NN135" s="498"/>
      <c r="NO135" s="497"/>
      <c r="NP135" s="498"/>
      <c r="NQ135" s="540"/>
      <c r="NR135" s="541"/>
      <c r="NS135" s="540"/>
      <c r="NT135" s="541"/>
      <c r="NU135" s="497"/>
      <c r="NV135" s="498"/>
      <c r="NW135" s="540"/>
      <c r="NX135" s="541"/>
      <c r="NY135" s="540"/>
      <c r="NZ135" s="541"/>
      <c r="OA135" s="497"/>
      <c r="OB135" s="498"/>
      <c r="OC135" s="540"/>
      <c r="OD135" s="541"/>
      <c r="OE135" s="497"/>
      <c r="OF135" s="498"/>
      <c r="OG135" s="497"/>
      <c r="OH135" s="498"/>
    </row>
    <row r="136" spans="1:399" s="292" customFormat="1" ht="12.75" customHeight="1">
      <c r="D136" s="82"/>
      <c r="E136" s="82"/>
      <c r="F136" s="82"/>
      <c r="G136" s="44"/>
      <c r="H136" s="67"/>
      <c r="K136" s="291"/>
      <c r="L136" s="291"/>
      <c r="O136" s="291"/>
      <c r="Z136" s="291"/>
      <c r="AL136" s="291"/>
      <c r="AN136" s="291"/>
      <c r="AO136" s="291"/>
      <c r="BC136" s="290"/>
      <c r="BD136" s="290"/>
      <c r="BE136" s="290"/>
      <c r="BF136" s="290"/>
      <c r="BG136" s="290"/>
      <c r="BH136" s="290"/>
      <c r="BI136" s="290"/>
      <c r="BJ136" s="290"/>
      <c r="BK136" s="290"/>
      <c r="BL136" s="290"/>
      <c r="BZ136" s="60"/>
      <c r="CN136" s="284"/>
      <c r="CO136" s="284"/>
      <c r="CP136" s="284"/>
      <c r="CZ136" s="350" t="s">
        <v>118</v>
      </c>
      <c r="DA136" s="351"/>
      <c r="DB136" s="352"/>
      <c r="DC136" s="351"/>
      <c r="DD136" s="352"/>
      <c r="DE136" s="351" t="s">
        <v>142</v>
      </c>
      <c r="DF136" s="352"/>
      <c r="DG136" s="351"/>
      <c r="DH136" s="352"/>
      <c r="DI136" s="351"/>
      <c r="DJ136" s="352"/>
      <c r="DK136" s="351"/>
      <c r="DL136" s="352"/>
      <c r="DM136" s="351"/>
      <c r="DN136" s="352" t="s">
        <v>142</v>
      </c>
      <c r="DO136" s="351"/>
      <c r="DP136" s="352" t="s">
        <v>142</v>
      </c>
      <c r="DQ136" s="351"/>
      <c r="DR136" s="352"/>
      <c r="DS136" s="351" t="s">
        <v>142</v>
      </c>
      <c r="DT136" s="352"/>
      <c r="DU136" s="351"/>
      <c r="DV136" s="352" t="s">
        <v>142</v>
      </c>
      <c r="DW136" s="351"/>
      <c r="DX136" s="352" t="s">
        <v>142</v>
      </c>
      <c r="DY136" s="351"/>
      <c r="DZ136" s="352"/>
      <c r="EA136" s="351"/>
      <c r="EB136" s="352"/>
      <c r="EC136" s="351"/>
      <c r="ED136" s="352"/>
      <c r="EE136" s="351" t="s">
        <v>142</v>
      </c>
      <c r="EF136" s="352"/>
      <c r="EG136" s="351"/>
      <c r="EH136" s="352"/>
      <c r="EI136" s="351"/>
      <c r="EJ136" s="352"/>
      <c r="EK136" s="351"/>
      <c r="EL136" s="352"/>
      <c r="EM136" s="351"/>
      <c r="EN136" s="352"/>
      <c r="EO136" s="351" t="s">
        <v>142</v>
      </c>
      <c r="EP136" s="352"/>
      <c r="EQ136" s="351"/>
      <c r="ER136" s="352" t="s">
        <v>142</v>
      </c>
      <c r="ES136" s="351"/>
      <c r="ET136" s="352"/>
      <c r="EU136" s="351"/>
      <c r="EV136" s="352"/>
      <c r="EW136" s="351"/>
      <c r="EX136" s="352"/>
      <c r="EY136" s="351"/>
      <c r="EZ136" s="352"/>
      <c r="FA136" s="351"/>
      <c r="FB136" s="352"/>
      <c r="FC136" s="351"/>
      <c r="FD136" s="352"/>
      <c r="FE136" s="351" t="s">
        <v>142</v>
      </c>
      <c r="FF136" s="352"/>
      <c r="FG136" s="351"/>
      <c r="FH136" s="352"/>
      <c r="FI136" s="351"/>
      <c r="FJ136" s="352"/>
      <c r="FK136" s="351"/>
      <c r="FL136" s="352"/>
      <c r="FM136" s="351"/>
      <c r="FN136" s="352" t="s">
        <v>142</v>
      </c>
      <c r="FO136" s="351"/>
      <c r="FP136" s="352"/>
      <c r="FQ136" s="351"/>
      <c r="FR136" s="352"/>
      <c r="FS136" s="351"/>
      <c r="FT136" s="352"/>
      <c r="FU136" s="351" t="s">
        <v>142</v>
      </c>
      <c r="FV136" s="352"/>
      <c r="FW136" s="351"/>
      <c r="FX136" s="352"/>
      <c r="FY136" s="351"/>
      <c r="FZ136" s="352"/>
      <c r="GA136" s="351"/>
      <c r="GB136" s="352" t="s">
        <v>142</v>
      </c>
      <c r="GC136" s="351"/>
      <c r="GD136" s="352"/>
      <c r="GE136" s="351"/>
      <c r="GF136" s="352"/>
      <c r="GG136" s="351"/>
      <c r="GH136" s="352"/>
      <c r="GI136" s="351"/>
      <c r="GJ136" s="352" t="s">
        <v>142</v>
      </c>
      <c r="GK136" s="351"/>
      <c r="GL136" s="352"/>
      <c r="GM136" s="351"/>
      <c r="GN136" s="352"/>
      <c r="GO136" s="351"/>
      <c r="GP136" s="352"/>
      <c r="GQ136" s="351" t="s">
        <v>142</v>
      </c>
      <c r="GR136" s="352"/>
      <c r="GS136" s="351"/>
      <c r="GT136" s="352"/>
      <c r="GU136" s="351"/>
      <c r="GV136" s="352"/>
      <c r="GW136" s="351"/>
      <c r="GX136" s="352"/>
      <c r="GY136" s="351"/>
      <c r="GZ136" s="352"/>
      <c r="HA136" s="351"/>
      <c r="HB136" s="352"/>
      <c r="HC136" s="351"/>
      <c r="HD136" s="352"/>
      <c r="HE136" s="351"/>
      <c r="HF136" s="352"/>
      <c r="HG136" s="351"/>
      <c r="HH136" s="352"/>
      <c r="HI136" s="351" t="s">
        <v>142</v>
      </c>
      <c r="HJ136" s="352"/>
      <c r="HK136" s="351"/>
      <c r="HL136" s="352"/>
      <c r="HM136" s="351"/>
      <c r="HN136" s="352"/>
      <c r="HO136" s="351"/>
      <c r="HP136" s="352"/>
      <c r="HQ136" s="351"/>
      <c r="HR136" s="352"/>
      <c r="HS136" s="351"/>
      <c r="HT136" s="352" t="s">
        <v>142</v>
      </c>
      <c r="HU136" s="351" t="s">
        <v>142</v>
      </c>
      <c r="HV136" s="352"/>
      <c r="HW136" s="351"/>
      <c r="HX136" s="352"/>
      <c r="HY136" s="351"/>
      <c r="HZ136" s="352"/>
      <c r="IA136" s="351"/>
      <c r="IB136" s="352"/>
      <c r="IC136" s="351"/>
      <c r="ID136" s="352"/>
      <c r="IE136" s="351"/>
      <c r="IF136" s="352"/>
      <c r="IG136" s="351"/>
      <c r="IH136" s="352"/>
      <c r="II136" s="351"/>
      <c r="IJ136" s="352"/>
      <c r="IK136" s="351"/>
      <c r="IL136" s="352"/>
      <c r="IM136" s="351"/>
      <c r="IN136" s="352"/>
      <c r="IO136" s="351"/>
      <c r="IP136" s="352"/>
      <c r="IQ136" s="351"/>
      <c r="IR136" s="352"/>
      <c r="IS136" s="351"/>
      <c r="IT136" s="352"/>
      <c r="IU136" s="351"/>
      <c r="IV136" s="352"/>
      <c r="IW136" s="351"/>
      <c r="IX136" s="352" t="s">
        <v>142</v>
      </c>
      <c r="IY136" s="351"/>
      <c r="IZ136" s="352"/>
      <c r="JA136" s="351"/>
      <c r="JB136" s="352"/>
      <c r="JC136" s="351"/>
      <c r="JD136" s="352"/>
      <c r="JE136" s="351"/>
      <c r="JF136" s="352"/>
      <c r="JG136" s="351"/>
      <c r="JH136" s="352"/>
      <c r="JI136" s="351"/>
      <c r="JJ136" s="352"/>
      <c r="JK136" s="351"/>
      <c r="JL136" s="352"/>
      <c r="JM136" s="351"/>
      <c r="JN136" s="352"/>
      <c r="JO136" s="351"/>
      <c r="JP136" s="352"/>
      <c r="JQ136" s="351"/>
      <c r="JR136" s="352"/>
      <c r="JS136" s="351"/>
      <c r="JT136" s="352"/>
      <c r="JU136" s="351"/>
      <c r="JV136" s="352"/>
      <c r="JW136" s="351"/>
      <c r="JX136" s="352"/>
      <c r="JY136" s="351"/>
      <c r="JZ136" s="352"/>
      <c r="KA136" s="351"/>
      <c r="KB136" s="352"/>
      <c r="KC136" s="351"/>
      <c r="KD136" s="352"/>
      <c r="KE136" s="351"/>
      <c r="KF136" s="352"/>
      <c r="KG136" s="351"/>
      <c r="KH136" s="352"/>
      <c r="KI136" s="351"/>
      <c r="KJ136" s="352"/>
      <c r="KK136" s="351"/>
      <c r="KL136" s="352"/>
      <c r="KM136" s="351"/>
      <c r="KN136" s="352"/>
      <c r="KO136" s="351"/>
      <c r="KP136" s="352"/>
      <c r="KQ136" s="351"/>
      <c r="KR136" s="352"/>
      <c r="KS136" s="351"/>
      <c r="KT136" s="352"/>
      <c r="KU136" s="351"/>
      <c r="KV136" s="352"/>
      <c r="KW136" s="351"/>
      <c r="KX136" s="352"/>
      <c r="KY136" s="351"/>
      <c r="KZ136" s="352"/>
      <c r="LA136" s="351"/>
      <c r="LB136" s="352"/>
      <c r="LC136" s="351"/>
      <c r="LD136" s="352"/>
      <c r="LE136" s="351"/>
      <c r="LF136" s="352"/>
      <c r="LG136" s="351"/>
      <c r="LH136" s="352"/>
      <c r="LI136" s="351"/>
      <c r="LJ136" s="352"/>
      <c r="LK136" s="351"/>
      <c r="LL136" s="352"/>
      <c r="LM136" s="351"/>
      <c r="LN136" s="352"/>
      <c r="LO136" s="351"/>
      <c r="LP136" s="352"/>
      <c r="LQ136" s="351"/>
      <c r="LR136" s="352"/>
      <c r="LS136" s="351"/>
      <c r="LT136" s="352"/>
      <c r="LU136" s="351"/>
      <c r="LV136" s="352"/>
      <c r="LW136" s="351"/>
      <c r="LX136" s="352"/>
      <c r="LY136" s="351"/>
      <c r="LZ136" s="352"/>
      <c r="MA136" s="351"/>
      <c r="MB136" s="352"/>
      <c r="MC136" s="351"/>
      <c r="MD136" s="352"/>
      <c r="ME136" s="351"/>
      <c r="MF136" s="352"/>
      <c r="MG136" s="351"/>
      <c r="MH136" s="352"/>
      <c r="MI136" s="380"/>
      <c r="MJ136" s="352"/>
      <c r="MK136" s="351"/>
      <c r="ML136" s="352"/>
      <c r="MM136" s="351"/>
      <c r="MN136" s="352" t="s">
        <v>142</v>
      </c>
      <c r="MO136" s="351" t="s">
        <v>142</v>
      </c>
      <c r="MP136" s="352"/>
      <c r="MQ136" s="351"/>
      <c r="MR136" s="352"/>
      <c r="MS136" s="351"/>
      <c r="MT136" s="352" t="s">
        <v>142</v>
      </c>
      <c r="MU136" s="351"/>
      <c r="MV136" s="352"/>
      <c r="MW136" s="351"/>
      <c r="MX136" s="352"/>
      <c r="MY136" s="351"/>
      <c r="MZ136" s="352"/>
      <c r="NA136" s="351"/>
      <c r="NB136" s="352"/>
      <c r="NC136" s="497"/>
      <c r="ND136" s="498"/>
      <c r="NE136" s="351" t="s">
        <v>142</v>
      </c>
      <c r="NF136" s="352"/>
      <c r="NG136" s="351" t="s">
        <v>142</v>
      </c>
      <c r="NH136" s="352"/>
      <c r="NI136" s="497"/>
      <c r="NJ136" s="498" t="s">
        <v>142</v>
      </c>
      <c r="NK136" s="497"/>
      <c r="NL136" s="498"/>
      <c r="NM136" s="497"/>
      <c r="NN136" s="498"/>
      <c r="NO136" s="497"/>
      <c r="NP136" s="498"/>
      <c r="NQ136" s="497"/>
      <c r="NR136" s="498"/>
      <c r="NS136" s="497" t="s">
        <v>142</v>
      </c>
      <c r="NT136" s="498"/>
      <c r="NU136" s="497"/>
      <c r="NV136" s="498"/>
      <c r="NW136" s="497"/>
      <c r="NX136" s="498" t="s">
        <v>142</v>
      </c>
      <c r="NY136" s="497"/>
      <c r="NZ136" s="498"/>
      <c r="OA136" s="497"/>
      <c r="OB136" s="498" t="s">
        <v>142</v>
      </c>
      <c r="OC136" s="497"/>
      <c r="OD136" s="498"/>
      <c r="OE136" s="497"/>
      <c r="OF136" s="498"/>
      <c r="OG136" s="497"/>
      <c r="OH136" s="498"/>
    </row>
    <row r="137" spans="1:399" s="20" customFormat="1" ht="12.75" customHeight="1">
      <c r="D137" s="82"/>
      <c r="E137" s="82"/>
      <c r="F137" s="82"/>
      <c r="G137" s="44"/>
      <c r="H137" s="67"/>
      <c r="K137" s="17"/>
      <c r="L137" s="17"/>
      <c r="O137" s="17"/>
      <c r="Z137" s="17"/>
      <c r="AL137" s="17"/>
      <c r="AN137" s="17"/>
      <c r="AO137" s="17"/>
      <c r="BC137" s="15"/>
      <c r="BD137" s="15"/>
      <c r="BE137" s="15"/>
      <c r="BF137" s="15"/>
      <c r="BG137" s="15"/>
      <c r="BH137" s="15"/>
      <c r="BI137" s="15"/>
      <c r="BJ137" s="15"/>
      <c r="BK137" s="15"/>
      <c r="BL137" s="15"/>
      <c r="BZ137" s="60"/>
      <c r="CB137" s="292"/>
      <c r="CN137" s="284"/>
      <c r="CO137" s="284"/>
      <c r="CP137" s="284"/>
      <c r="CZ137" s="197" t="s">
        <v>23</v>
      </c>
      <c r="DA137" s="310"/>
      <c r="DB137" s="311"/>
      <c r="DC137" s="310"/>
      <c r="DD137" s="311"/>
      <c r="DE137" s="310"/>
      <c r="DF137" s="311"/>
      <c r="DG137" s="310"/>
      <c r="DH137" s="311"/>
      <c r="DI137" s="310"/>
      <c r="DJ137" s="311"/>
      <c r="DK137" s="310"/>
      <c r="DL137" s="311"/>
      <c r="DM137" s="310" t="s">
        <v>142</v>
      </c>
      <c r="DN137" s="311"/>
      <c r="DO137" s="310"/>
      <c r="DP137" s="311"/>
      <c r="DQ137" s="310"/>
      <c r="DR137" s="311" t="s">
        <v>142</v>
      </c>
      <c r="DS137" s="310"/>
      <c r="DT137" s="311" t="s">
        <v>142</v>
      </c>
      <c r="DU137" s="310" t="s">
        <v>142</v>
      </c>
      <c r="DV137" s="311"/>
      <c r="DW137" s="310" t="s">
        <v>142</v>
      </c>
      <c r="DX137" s="311"/>
      <c r="DY137" s="310"/>
      <c r="DZ137" s="311"/>
      <c r="EA137" s="310"/>
      <c r="EB137" s="311" t="s">
        <v>142</v>
      </c>
      <c r="EC137" s="310"/>
      <c r="ED137" s="311"/>
      <c r="EE137" s="310" t="s">
        <v>142</v>
      </c>
      <c r="EF137" s="311"/>
      <c r="EG137" s="310"/>
      <c r="EH137" s="311"/>
      <c r="EI137" s="310"/>
      <c r="EJ137" s="311"/>
      <c r="EK137" s="310"/>
      <c r="EL137" s="311" t="s">
        <v>142</v>
      </c>
      <c r="EM137" s="310"/>
      <c r="EN137" s="311"/>
      <c r="EO137" s="310" t="s">
        <v>142</v>
      </c>
      <c r="EP137" s="311"/>
      <c r="EQ137" s="310"/>
      <c r="ER137" s="311" t="s">
        <v>142</v>
      </c>
      <c r="ES137" s="310"/>
      <c r="ET137" s="311" t="s">
        <v>142</v>
      </c>
      <c r="EU137" s="310" t="s">
        <v>142</v>
      </c>
      <c r="EV137" s="311"/>
      <c r="EW137" s="310"/>
      <c r="EX137" s="311"/>
      <c r="EY137" s="310"/>
      <c r="EZ137" s="311"/>
      <c r="FA137" s="310"/>
      <c r="FB137" s="311"/>
      <c r="FC137" s="310"/>
      <c r="FD137" s="311" t="s">
        <v>142</v>
      </c>
      <c r="FE137" s="310" t="s">
        <v>142</v>
      </c>
      <c r="FF137" s="311"/>
      <c r="FG137" s="310"/>
      <c r="FH137" s="311"/>
      <c r="FI137" s="310"/>
      <c r="FJ137" s="311" t="s">
        <v>142</v>
      </c>
      <c r="FK137" s="310" t="s">
        <v>142</v>
      </c>
      <c r="FL137" s="311"/>
      <c r="FM137" s="310"/>
      <c r="FN137" s="311" t="s">
        <v>142</v>
      </c>
      <c r="FO137" s="310" t="s">
        <v>142</v>
      </c>
      <c r="FP137" s="311"/>
      <c r="FQ137" s="310" t="s">
        <v>142</v>
      </c>
      <c r="FR137" s="311"/>
      <c r="FS137" s="310"/>
      <c r="FT137" s="311" t="s">
        <v>142</v>
      </c>
      <c r="FU137" s="310"/>
      <c r="FV137" s="311" t="s">
        <v>142</v>
      </c>
      <c r="FW137" s="310" t="s">
        <v>142</v>
      </c>
      <c r="FX137" s="311"/>
      <c r="FY137" s="310"/>
      <c r="FZ137" s="311" t="s">
        <v>142</v>
      </c>
      <c r="GA137" s="310" t="s">
        <v>142</v>
      </c>
      <c r="GB137" s="311"/>
      <c r="GC137" s="310"/>
      <c r="GD137" s="311" t="s">
        <v>142</v>
      </c>
      <c r="GE137" s="310" t="s">
        <v>142</v>
      </c>
      <c r="GF137" s="311"/>
      <c r="GG137" s="310"/>
      <c r="GH137" s="311" t="s">
        <v>142</v>
      </c>
      <c r="GI137" s="310" t="s">
        <v>142</v>
      </c>
      <c r="GJ137" s="311"/>
      <c r="GK137" s="310"/>
      <c r="GL137" s="311" t="s">
        <v>142</v>
      </c>
      <c r="GM137" s="310" t="s">
        <v>142</v>
      </c>
      <c r="GN137" s="311"/>
      <c r="GO137" s="310"/>
      <c r="GP137" s="311" t="s">
        <v>142</v>
      </c>
      <c r="GQ137" s="310" t="s">
        <v>142</v>
      </c>
      <c r="GR137" s="311"/>
      <c r="GS137" s="310"/>
      <c r="GT137" s="311" t="s">
        <v>142</v>
      </c>
      <c r="GU137" s="310" t="s">
        <v>142</v>
      </c>
      <c r="GV137" s="311"/>
      <c r="GW137" s="310"/>
      <c r="GX137" s="311"/>
      <c r="GY137" s="310"/>
      <c r="GZ137" s="311"/>
      <c r="HA137" s="310"/>
      <c r="HB137" s="311" t="s">
        <v>142</v>
      </c>
      <c r="HC137" s="310" t="s">
        <v>142</v>
      </c>
      <c r="HD137" s="311"/>
      <c r="HE137" s="310"/>
      <c r="HF137" s="311" t="s">
        <v>142</v>
      </c>
      <c r="HG137" s="310" t="s">
        <v>142</v>
      </c>
      <c r="HH137" s="311"/>
      <c r="HI137" s="310" t="s">
        <v>142</v>
      </c>
      <c r="HJ137" s="311"/>
      <c r="HK137" s="310"/>
      <c r="HL137" s="311" t="s">
        <v>142</v>
      </c>
      <c r="HM137" s="310"/>
      <c r="HN137" s="311" t="s">
        <v>142</v>
      </c>
      <c r="HO137" s="310" t="s">
        <v>142</v>
      </c>
      <c r="HP137" s="311"/>
      <c r="HQ137" s="310"/>
      <c r="HR137" s="311" t="s">
        <v>142</v>
      </c>
      <c r="HS137" s="310" t="s">
        <v>142</v>
      </c>
      <c r="HT137" s="311"/>
      <c r="HU137" s="310"/>
      <c r="HV137" s="311" t="s">
        <v>142</v>
      </c>
      <c r="HW137" s="310"/>
      <c r="HX137" s="311"/>
      <c r="HY137" s="310"/>
      <c r="HZ137" s="311" t="s">
        <v>142</v>
      </c>
      <c r="IA137" s="310" t="s">
        <v>142</v>
      </c>
      <c r="IB137" s="311"/>
      <c r="IC137" s="310"/>
      <c r="ID137" s="311" t="s">
        <v>142</v>
      </c>
      <c r="IE137" s="310" t="s">
        <v>142</v>
      </c>
      <c r="IF137" s="311"/>
      <c r="IG137" s="310"/>
      <c r="IH137" s="311" t="s">
        <v>142</v>
      </c>
      <c r="II137" s="310" t="s">
        <v>142</v>
      </c>
      <c r="IJ137" s="311"/>
      <c r="IK137" s="310"/>
      <c r="IL137" s="311" t="s">
        <v>142</v>
      </c>
      <c r="IM137" s="310" t="s">
        <v>142</v>
      </c>
      <c r="IN137" s="311"/>
      <c r="IO137" s="310"/>
      <c r="IP137" s="311" t="s">
        <v>142</v>
      </c>
      <c r="IQ137" s="310"/>
      <c r="IR137" s="311" t="s">
        <v>142</v>
      </c>
      <c r="IS137" s="310"/>
      <c r="IT137" s="311"/>
      <c r="IU137" s="310" t="s">
        <v>142</v>
      </c>
      <c r="IV137" s="311"/>
      <c r="IW137" s="310"/>
      <c r="IX137" s="311" t="s">
        <v>142</v>
      </c>
      <c r="IY137" s="310"/>
      <c r="IZ137" s="311"/>
      <c r="JA137" s="310"/>
      <c r="JB137" s="311"/>
      <c r="JC137" s="310"/>
      <c r="JD137" s="311"/>
      <c r="JE137" s="310"/>
      <c r="JF137" s="311" t="s">
        <v>142</v>
      </c>
      <c r="JG137" s="310"/>
      <c r="JH137" s="311" t="s">
        <v>142</v>
      </c>
      <c r="JI137" s="310" t="s">
        <v>142</v>
      </c>
      <c r="JJ137" s="311"/>
      <c r="JK137" s="310"/>
      <c r="JL137" s="311" t="s">
        <v>142</v>
      </c>
      <c r="JM137" s="310"/>
      <c r="JN137" s="311" t="s">
        <v>142</v>
      </c>
      <c r="JO137" s="310"/>
      <c r="JP137" s="311"/>
      <c r="JQ137" s="310" t="s">
        <v>142</v>
      </c>
      <c r="JR137" s="311"/>
      <c r="JS137" s="310"/>
      <c r="JT137" s="311" t="s">
        <v>142</v>
      </c>
      <c r="JU137" s="310"/>
      <c r="JV137" s="311" t="s">
        <v>142</v>
      </c>
      <c r="JW137" s="310"/>
      <c r="JX137" s="311" t="s">
        <v>142</v>
      </c>
      <c r="JY137" s="310"/>
      <c r="JZ137" s="311" t="s">
        <v>142</v>
      </c>
      <c r="KA137" s="310"/>
      <c r="KB137" s="311" t="s">
        <v>142</v>
      </c>
      <c r="KC137" s="310"/>
      <c r="KD137" s="311" t="s">
        <v>142</v>
      </c>
      <c r="KE137" s="310" t="s">
        <v>142</v>
      </c>
      <c r="KF137" s="311"/>
      <c r="KG137" s="310"/>
      <c r="KH137" s="311" t="s">
        <v>142</v>
      </c>
      <c r="KI137" s="310"/>
      <c r="KJ137" s="311" t="s">
        <v>142</v>
      </c>
      <c r="KK137" s="310"/>
      <c r="KL137" s="311" t="s">
        <v>142</v>
      </c>
      <c r="KM137" s="310"/>
      <c r="KN137" s="311" t="s">
        <v>142</v>
      </c>
      <c r="KO137" s="310"/>
      <c r="KP137" s="311" t="s">
        <v>142</v>
      </c>
      <c r="KQ137" s="310" t="s">
        <v>142</v>
      </c>
      <c r="KR137" s="311"/>
      <c r="KS137" s="310"/>
      <c r="KT137" s="311"/>
      <c r="KU137" s="310"/>
      <c r="KV137" s="311"/>
      <c r="KW137" s="310"/>
      <c r="KX137" s="311"/>
      <c r="KY137" s="310"/>
      <c r="KZ137" s="311"/>
      <c r="LA137" s="310"/>
      <c r="LB137" s="311"/>
      <c r="LC137" s="310"/>
      <c r="LD137" s="311" t="s">
        <v>142</v>
      </c>
      <c r="LE137" s="310"/>
      <c r="LF137" s="311"/>
      <c r="LG137" s="310"/>
      <c r="LH137" s="311" t="s">
        <v>142</v>
      </c>
      <c r="LI137" s="310"/>
      <c r="LJ137" s="311"/>
      <c r="LK137" s="310"/>
      <c r="LL137" s="311" t="s">
        <v>249</v>
      </c>
      <c r="LM137" s="310"/>
      <c r="LN137" s="311"/>
      <c r="LO137" s="310"/>
      <c r="LP137" s="311" t="s">
        <v>142</v>
      </c>
      <c r="LQ137" s="310"/>
      <c r="LR137" s="311"/>
      <c r="LS137" s="310"/>
      <c r="LT137" s="311" t="s">
        <v>142</v>
      </c>
      <c r="LU137" s="407"/>
      <c r="LV137" s="408"/>
      <c r="LW137" s="407"/>
      <c r="LX137" s="408" t="s">
        <v>249</v>
      </c>
      <c r="LY137" s="407"/>
      <c r="LZ137" s="408"/>
      <c r="MA137" s="407"/>
      <c r="MB137" s="408"/>
      <c r="MC137" s="407"/>
      <c r="MD137" s="408" t="s">
        <v>142</v>
      </c>
      <c r="ME137" s="310"/>
      <c r="MF137" s="311"/>
      <c r="MG137" s="310"/>
      <c r="MH137" s="311"/>
      <c r="MI137" s="310"/>
      <c r="MJ137" s="311" t="s">
        <v>142</v>
      </c>
      <c r="MK137" s="407"/>
      <c r="ML137" s="408"/>
      <c r="MM137" s="407"/>
      <c r="MN137" s="408"/>
      <c r="MO137" s="407"/>
      <c r="MP137" s="408" t="s">
        <v>142</v>
      </c>
      <c r="MQ137" s="310"/>
      <c r="MR137" s="311"/>
      <c r="MS137" s="407"/>
      <c r="MT137" s="408" t="s">
        <v>142</v>
      </c>
      <c r="MU137" s="407"/>
      <c r="MV137" s="408"/>
      <c r="MW137" s="310"/>
      <c r="MX137" s="311"/>
      <c r="MY137" s="407"/>
      <c r="MZ137" s="408"/>
      <c r="NA137" s="407"/>
      <c r="NB137" s="408" t="s">
        <v>142</v>
      </c>
      <c r="NC137" s="501"/>
      <c r="ND137" s="502"/>
      <c r="NE137" s="407"/>
      <c r="NF137" s="408" t="s">
        <v>142</v>
      </c>
      <c r="NG137" s="407"/>
      <c r="NH137" s="408" t="s">
        <v>142</v>
      </c>
      <c r="NI137" s="528"/>
      <c r="NJ137" s="529" t="s">
        <v>142</v>
      </c>
      <c r="NK137" s="501"/>
      <c r="NL137" s="529"/>
      <c r="NM137" s="501"/>
      <c r="NN137" s="529"/>
      <c r="NO137" s="501"/>
      <c r="NP137" s="529" t="s">
        <v>142</v>
      </c>
      <c r="NQ137" s="501"/>
      <c r="NR137" s="502" t="s">
        <v>142</v>
      </c>
      <c r="NS137" s="528"/>
      <c r="NT137" s="529"/>
      <c r="NU137" s="501"/>
      <c r="NV137" s="502" t="s">
        <v>142</v>
      </c>
      <c r="NW137" s="528"/>
      <c r="NX137" s="529"/>
      <c r="NY137" s="528"/>
      <c r="NZ137" s="529" t="s">
        <v>142</v>
      </c>
      <c r="OA137" s="501"/>
      <c r="OB137" s="502"/>
      <c r="OC137" s="528"/>
      <c r="OD137" s="529"/>
      <c r="OE137" s="501"/>
      <c r="OF137" s="502" t="s">
        <v>142</v>
      </c>
      <c r="OG137" s="501"/>
      <c r="OH137" s="502"/>
    </row>
    <row r="138" spans="1:399" s="20" customFormat="1" ht="12.75" customHeight="1">
      <c r="D138" s="82"/>
      <c r="E138" s="82"/>
      <c r="F138" s="82"/>
      <c r="G138" s="44"/>
      <c r="H138" s="67"/>
      <c r="K138" s="17"/>
      <c r="L138" s="17"/>
      <c r="O138" s="17"/>
      <c r="Z138" s="17"/>
      <c r="AL138" s="17"/>
      <c r="AN138" s="17"/>
      <c r="AO138" s="17"/>
      <c r="BC138" s="15"/>
      <c r="BD138" s="15"/>
      <c r="BE138" s="15"/>
      <c r="BF138" s="15"/>
      <c r="BG138" s="15"/>
      <c r="BH138" s="15"/>
      <c r="BI138" s="15"/>
      <c r="BJ138" s="15"/>
      <c r="BK138" s="15"/>
      <c r="BL138" s="15"/>
      <c r="BZ138" s="60"/>
      <c r="CB138" s="292"/>
      <c r="CN138" s="284"/>
      <c r="CO138" s="284"/>
      <c r="CP138" s="284"/>
      <c r="CZ138" s="350" t="s">
        <v>22</v>
      </c>
      <c r="DA138" s="373"/>
      <c r="DB138" s="374"/>
      <c r="DC138" s="373"/>
      <c r="DD138" s="374"/>
      <c r="DE138" s="373"/>
      <c r="DF138" s="374"/>
      <c r="DG138" s="373"/>
      <c r="DH138" s="374"/>
      <c r="DI138" s="373"/>
      <c r="DJ138" s="374"/>
      <c r="DK138" s="373"/>
      <c r="DL138" s="374"/>
      <c r="DM138" s="373"/>
      <c r="DN138" s="374"/>
      <c r="DO138" s="373"/>
      <c r="DP138" s="374"/>
      <c r="DQ138" s="373"/>
      <c r="DR138" s="374"/>
      <c r="DS138" s="373"/>
      <c r="DT138" s="374"/>
      <c r="DU138" s="373"/>
      <c r="DV138" s="374"/>
      <c r="DW138" s="373" t="s">
        <v>142</v>
      </c>
      <c r="DX138" s="374"/>
      <c r="DY138" s="373"/>
      <c r="DZ138" s="374"/>
      <c r="EA138" s="373"/>
      <c r="EB138" s="374" t="s">
        <v>142</v>
      </c>
      <c r="EC138" s="373"/>
      <c r="ED138" s="374" t="s">
        <v>142</v>
      </c>
      <c r="EE138" s="373"/>
      <c r="EF138" s="374" t="s">
        <v>142</v>
      </c>
      <c r="EG138" s="373"/>
      <c r="EH138" s="374"/>
      <c r="EI138" s="373" t="s">
        <v>142</v>
      </c>
      <c r="EJ138" s="374"/>
      <c r="EK138" s="373"/>
      <c r="EL138" s="374"/>
      <c r="EM138" s="373"/>
      <c r="EN138" s="374"/>
      <c r="EO138" s="373"/>
      <c r="EP138" s="374"/>
      <c r="EQ138" s="373"/>
      <c r="ER138" s="374"/>
      <c r="ES138" s="373"/>
      <c r="ET138" s="374"/>
      <c r="EU138" s="373" t="s">
        <v>142</v>
      </c>
      <c r="EV138" s="374"/>
      <c r="EW138" s="373"/>
      <c r="EX138" s="374"/>
      <c r="EY138" s="373"/>
      <c r="EZ138" s="374"/>
      <c r="FA138" s="373"/>
      <c r="FB138" s="374" t="s">
        <v>142</v>
      </c>
      <c r="FC138" s="373" t="s">
        <v>142</v>
      </c>
      <c r="FD138" s="374"/>
      <c r="FE138" s="373"/>
      <c r="FF138" s="374" t="s">
        <v>142</v>
      </c>
      <c r="FG138" s="373" t="s">
        <v>142</v>
      </c>
      <c r="FH138" s="374"/>
      <c r="FI138" s="373"/>
      <c r="FJ138" s="374" t="s">
        <v>142</v>
      </c>
      <c r="FK138" s="373" t="s">
        <v>142</v>
      </c>
      <c r="FL138" s="374"/>
      <c r="FM138" s="373"/>
      <c r="FN138" s="374" t="s">
        <v>142</v>
      </c>
      <c r="FO138" s="373" t="s">
        <v>142</v>
      </c>
      <c r="FP138" s="374"/>
      <c r="FQ138" s="373"/>
      <c r="FR138" s="374"/>
      <c r="FS138" s="373"/>
      <c r="FT138" s="374" t="s">
        <v>142</v>
      </c>
      <c r="FU138" s="373" t="s">
        <v>142</v>
      </c>
      <c r="FV138" s="374"/>
      <c r="FW138" s="373"/>
      <c r="FX138" s="374" t="s">
        <v>142</v>
      </c>
      <c r="FY138" s="373" t="s">
        <v>142</v>
      </c>
      <c r="FZ138" s="374"/>
      <c r="GA138" s="373"/>
      <c r="GB138" s="374" t="s">
        <v>142</v>
      </c>
      <c r="GC138" s="373" t="s">
        <v>142</v>
      </c>
      <c r="GD138" s="374"/>
      <c r="GE138" s="373"/>
      <c r="GF138" s="374" t="s">
        <v>142</v>
      </c>
      <c r="GG138" s="373"/>
      <c r="GH138" s="374"/>
      <c r="GI138" s="373" t="s">
        <v>142</v>
      </c>
      <c r="GJ138" s="374"/>
      <c r="GK138" s="373"/>
      <c r="GL138" s="374" t="s">
        <v>142</v>
      </c>
      <c r="GM138" s="373"/>
      <c r="GN138" s="374" t="s">
        <v>142</v>
      </c>
      <c r="GO138" s="373"/>
      <c r="GP138" s="374" t="s">
        <v>142</v>
      </c>
      <c r="GQ138" s="373"/>
      <c r="GR138" s="374" t="s">
        <v>142</v>
      </c>
      <c r="GS138" s="373" t="s">
        <v>142</v>
      </c>
      <c r="GT138" s="374"/>
      <c r="GU138" s="373"/>
      <c r="GV138" s="374" t="s">
        <v>142</v>
      </c>
      <c r="GW138" s="373"/>
      <c r="GX138" s="374"/>
      <c r="GY138" s="373"/>
      <c r="GZ138" s="374"/>
      <c r="HA138" s="373"/>
      <c r="HB138" s="374"/>
      <c r="HC138" s="373"/>
      <c r="HD138" s="374"/>
      <c r="HE138" s="373" t="s">
        <v>142</v>
      </c>
      <c r="HF138" s="374"/>
      <c r="HG138" s="373"/>
      <c r="HH138" s="374" t="s">
        <v>142</v>
      </c>
      <c r="HI138" s="373"/>
      <c r="HJ138" s="374"/>
      <c r="HK138" s="373"/>
      <c r="HL138" s="374"/>
      <c r="HM138" s="373" t="s">
        <v>142</v>
      </c>
      <c r="HN138" s="374"/>
      <c r="HO138" s="373"/>
      <c r="HP138" s="374"/>
      <c r="HQ138" s="373"/>
      <c r="HR138" s="374" t="s">
        <v>142</v>
      </c>
      <c r="HS138" s="373"/>
      <c r="HT138" s="374"/>
      <c r="HU138" s="351" t="s">
        <v>142</v>
      </c>
      <c r="HV138" s="352"/>
      <c r="HW138" s="351"/>
      <c r="HX138" s="352"/>
      <c r="HY138" s="351"/>
      <c r="HZ138" s="352"/>
      <c r="IA138" s="351"/>
      <c r="IB138" s="352"/>
      <c r="IC138" s="351"/>
      <c r="ID138" s="352"/>
      <c r="IE138" s="351"/>
      <c r="IF138" s="352"/>
      <c r="IG138" s="351"/>
      <c r="IH138" s="352"/>
      <c r="II138" s="351"/>
      <c r="IJ138" s="352"/>
      <c r="IK138" s="351"/>
      <c r="IL138" s="352"/>
      <c r="IM138" s="351"/>
      <c r="IN138" s="352"/>
      <c r="IO138" s="351"/>
      <c r="IP138" s="352"/>
      <c r="IQ138" s="351"/>
      <c r="IR138" s="352"/>
      <c r="IS138" s="351"/>
      <c r="IT138" s="352"/>
      <c r="IU138" s="351"/>
      <c r="IV138" s="352"/>
      <c r="IW138" s="351"/>
      <c r="IX138" s="352"/>
      <c r="IY138" s="351"/>
      <c r="IZ138" s="352"/>
      <c r="JA138" s="351"/>
      <c r="JB138" s="352"/>
      <c r="JC138" s="351"/>
      <c r="JD138" s="352"/>
      <c r="JE138" s="351"/>
      <c r="JF138" s="352"/>
      <c r="JG138" s="351"/>
      <c r="JH138" s="352"/>
      <c r="JI138" s="351"/>
      <c r="JJ138" s="352" t="s">
        <v>142</v>
      </c>
      <c r="JK138" s="351"/>
      <c r="JL138" s="352"/>
      <c r="JM138" s="351" t="s">
        <v>142</v>
      </c>
      <c r="JN138" s="352"/>
      <c r="JO138" s="380" t="s">
        <v>142</v>
      </c>
      <c r="JP138" s="352"/>
      <c r="JQ138" s="351"/>
      <c r="JR138" s="352" t="s">
        <v>142</v>
      </c>
      <c r="JS138" s="351" t="s">
        <v>142</v>
      </c>
      <c r="JT138" s="352"/>
      <c r="JU138" s="351" t="s">
        <v>142</v>
      </c>
      <c r="JV138" s="352"/>
      <c r="JW138" s="351"/>
      <c r="JX138" s="352"/>
      <c r="JY138" s="351"/>
      <c r="JZ138" s="352"/>
      <c r="KA138" s="351"/>
      <c r="KB138" s="352"/>
      <c r="KC138" s="351"/>
      <c r="KD138" s="352"/>
      <c r="KE138" s="351"/>
      <c r="KF138" s="352"/>
      <c r="KG138" s="351"/>
      <c r="KH138" s="352"/>
      <c r="KI138" s="351"/>
      <c r="KJ138" s="352"/>
      <c r="KK138" s="351"/>
      <c r="KL138" s="352"/>
      <c r="KM138" s="351"/>
      <c r="KN138" s="352" t="s">
        <v>142</v>
      </c>
      <c r="KO138" s="351"/>
      <c r="KP138" s="352"/>
      <c r="KQ138" s="351"/>
      <c r="KR138" s="352"/>
      <c r="KS138" s="351"/>
      <c r="KT138" s="352"/>
      <c r="KU138" s="351"/>
      <c r="KV138" s="352"/>
      <c r="KW138" s="351"/>
      <c r="KX138" s="352"/>
      <c r="KY138" s="351"/>
      <c r="KZ138" s="352"/>
      <c r="LA138" s="351"/>
      <c r="LB138" s="352"/>
      <c r="LC138" s="351"/>
      <c r="LD138" s="352"/>
      <c r="LE138" s="351"/>
      <c r="LF138" s="352"/>
      <c r="LG138" s="351"/>
      <c r="LH138" s="352"/>
      <c r="LI138" s="351"/>
      <c r="LJ138" s="352"/>
      <c r="LK138" s="351"/>
      <c r="LL138" s="352"/>
      <c r="LM138" s="351"/>
      <c r="LN138" s="352"/>
      <c r="LO138" s="351"/>
      <c r="LP138" s="352"/>
      <c r="LQ138" s="351"/>
      <c r="LR138" s="352"/>
      <c r="LS138" s="351"/>
      <c r="LT138" s="352"/>
      <c r="LU138" s="351"/>
      <c r="LV138" s="352"/>
      <c r="LW138" s="351"/>
      <c r="LX138" s="352"/>
      <c r="LY138" s="351"/>
      <c r="LZ138" s="352"/>
      <c r="MA138" s="351"/>
      <c r="MB138" s="352" t="s">
        <v>142</v>
      </c>
      <c r="MC138" s="351"/>
      <c r="MD138" s="352"/>
      <c r="ME138" s="351" t="s">
        <v>142</v>
      </c>
      <c r="MF138" s="352"/>
      <c r="MG138" s="351"/>
      <c r="MH138" s="352"/>
      <c r="MI138" s="351"/>
      <c r="MJ138" s="352" t="s">
        <v>142</v>
      </c>
      <c r="MK138" s="351"/>
      <c r="ML138" s="352"/>
      <c r="MM138" s="351" t="s">
        <v>142</v>
      </c>
      <c r="MN138" s="352"/>
      <c r="MO138" s="351"/>
      <c r="MP138" s="352" t="s">
        <v>142</v>
      </c>
      <c r="MQ138" s="351" t="s">
        <v>142</v>
      </c>
      <c r="MR138" s="352"/>
      <c r="MS138" s="351"/>
      <c r="MT138" s="352"/>
      <c r="MU138" s="351"/>
      <c r="MV138" s="352"/>
      <c r="MW138" s="351"/>
      <c r="MX138" s="352"/>
      <c r="MY138" s="351"/>
      <c r="MZ138" s="352"/>
      <c r="NA138" s="351"/>
      <c r="NB138" s="352"/>
      <c r="NC138" s="497"/>
      <c r="ND138" s="498"/>
      <c r="NE138" s="351"/>
      <c r="NF138" s="352"/>
      <c r="NG138" s="351"/>
      <c r="NH138" s="352"/>
      <c r="NI138" s="497"/>
      <c r="NJ138" s="498"/>
      <c r="NK138" s="497"/>
      <c r="NL138" s="498"/>
      <c r="NM138" s="497"/>
      <c r="NN138" s="498"/>
      <c r="NO138" s="497"/>
      <c r="NP138" s="498"/>
      <c r="NQ138" s="497" t="s">
        <v>142</v>
      </c>
      <c r="NR138" s="498"/>
      <c r="NS138" s="497"/>
      <c r="NT138" s="498"/>
      <c r="NU138" s="549"/>
      <c r="NV138" s="550"/>
      <c r="NW138" s="540"/>
      <c r="NX138" s="541" t="s">
        <v>142</v>
      </c>
      <c r="NY138" s="497"/>
      <c r="NZ138" s="498"/>
      <c r="OA138" s="497" t="s">
        <v>142</v>
      </c>
      <c r="OB138" s="498"/>
      <c r="OC138" s="497"/>
      <c r="OD138" s="498"/>
      <c r="OE138" s="497"/>
      <c r="OF138" s="498" t="s">
        <v>142</v>
      </c>
      <c r="OG138" s="497"/>
      <c r="OH138" s="498"/>
    </row>
    <row r="139" spans="1:399" s="20" customFormat="1" ht="13.15" customHeight="1" thickBot="1">
      <c r="D139" s="82"/>
      <c r="E139" s="82"/>
      <c r="F139" s="82"/>
      <c r="G139" s="44"/>
      <c r="H139" s="67"/>
      <c r="K139" s="17"/>
      <c r="L139" s="17"/>
      <c r="O139" s="17"/>
      <c r="Z139" s="17"/>
      <c r="AL139" s="17"/>
      <c r="AN139" s="17"/>
      <c r="AO139" s="17"/>
      <c r="BC139" s="15"/>
      <c r="BD139" s="15"/>
      <c r="BE139" s="15"/>
      <c r="BF139" s="15"/>
      <c r="BG139" s="15"/>
      <c r="BH139" s="15"/>
      <c r="BI139" s="15"/>
      <c r="BJ139" s="15"/>
      <c r="BK139" s="15"/>
      <c r="BL139" s="15"/>
      <c r="BZ139" s="60"/>
      <c r="CB139" s="292"/>
      <c r="CN139" s="284"/>
      <c r="CO139" s="284"/>
      <c r="CP139" s="284"/>
      <c r="CZ139" s="366" t="s">
        <v>264</v>
      </c>
      <c r="DA139" s="367"/>
      <c r="DB139" s="368"/>
      <c r="DC139" s="367"/>
      <c r="DD139" s="368"/>
      <c r="DE139" s="367"/>
      <c r="DF139" s="368"/>
      <c r="DG139" s="367"/>
      <c r="DH139" s="368"/>
      <c r="DI139" s="367"/>
      <c r="DJ139" s="368"/>
      <c r="DK139" s="367"/>
      <c r="DL139" s="368"/>
      <c r="DM139" s="367"/>
      <c r="DN139" s="368"/>
      <c r="DO139" s="367"/>
      <c r="DP139" s="368"/>
      <c r="DQ139" s="367"/>
      <c r="DR139" s="368"/>
      <c r="DS139" s="367"/>
      <c r="DT139" s="368"/>
      <c r="DU139" s="367"/>
      <c r="DV139" s="368"/>
      <c r="DW139" s="367"/>
      <c r="DX139" s="368"/>
      <c r="DY139" s="367"/>
      <c r="DZ139" s="368"/>
      <c r="EA139" s="367"/>
      <c r="EB139" s="368"/>
      <c r="EC139" s="367"/>
      <c r="ED139" s="368"/>
      <c r="EE139" s="367"/>
      <c r="EF139" s="368"/>
      <c r="EG139" s="367"/>
      <c r="EH139" s="368"/>
      <c r="EI139" s="367"/>
      <c r="EJ139" s="368"/>
      <c r="EK139" s="367"/>
      <c r="EL139" s="368"/>
      <c r="EM139" s="367"/>
      <c r="EN139" s="368"/>
      <c r="EO139" s="367"/>
      <c r="EP139" s="368"/>
      <c r="EQ139" s="367"/>
      <c r="ER139" s="368"/>
      <c r="ES139" s="367"/>
      <c r="ET139" s="368" t="s">
        <v>142</v>
      </c>
      <c r="EU139" s="367" t="s">
        <v>142</v>
      </c>
      <c r="EV139" s="368"/>
      <c r="EW139" s="367"/>
      <c r="EX139" s="368"/>
      <c r="EY139" s="367"/>
      <c r="EZ139" s="368"/>
      <c r="FA139" s="367" t="s">
        <v>142</v>
      </c>
      <c r="FB139" s="368"/>
      <c r="FC139" s="367"/>
      <c r="FD139" s="368" t="s">
        <v>142</v>
      </c>
      <c r="FE139" s="367" t="s">
        <v>142</v>
      </c>
      <c r="FF139" s="368"/>
      <c r="FG139" s="367"/>
      <c r="FH139" s="368" t="s">
        <v>142</v>
      </c>
      <c r="FI139" s="367" t="s">
        <v>142</v>
      </c>
      <c r="FJ139" s="368"/>
      <c r="FK139" s="367"/>
      <c r="FL139" s="368" t="s">
        <v>142</v>
      </c>
      <c r="FM139" s="367" t="s">
        <v>142</v>
      </c>
      <c r="FN139" s="368"/>
      <c r="FO139" s="367"/>
      <c r="FP139" s="368" t="s">
        <v>142</v>
      </c>
      <c r="FQ139" s="367"/>
      <c r="FR139" s="368"/>
      <c r="FS139" s="367" t="s">
        <v>142</v>
      </c>
      <c r="FT139" s="368"/>
      <c r="FU139" s="367"/>
      <c r="FV139" s="368" t="s">
        <v>142</v>
      </c>
      <c r="FW139" s="367" t="s">
        <v>142</v>
      </c>
      <c r="FX139" s="368"/>
      <c r="FY139" s="367"/>
      <c r="FZ139" s="368" t="s">
        <v>142</v>
      </c>
      <c r="GA139" s="367" t="s">
        <v>142</v>
      </c>
      <c r="GB139" s="368"/>
      <c r="GC139" s="367"/>
      <c r="GD139" s="368" t="s">
        <v>142</v>
      </c>
      <c r="GE139" s="367" t="s">
        <v>142</v>
      </c>
      <c r="GF139" s="368"/>
      <c r="GG139" s="367"/>
      <c r="GH139" s="368" t="s">
        <v>142</v>
      </c>
      <c r="GI139" s="367" t="s">
        <v>142</v>
      </c>
      <c r="GJ139" s="368"/>
      <c r="GK139" s="367"/>
      <c r="GL139" s="368" t="s">
        <v>142</v>
      </c>
      <c r="GM139" s="367" t="s">
        <v>142</v>
      </c>
      <c r="GN139" s="368"/>
      <c r="GO139" s="367"/>
      <c r="GP139" s="369" t="s">
        <v>142</v>
      </c>
      <c r="GQ139" s="370" t="s">
        <v>142</v>
      </c>
      <c r="GR139" s="368"/>
      <c r="GS139" s="367"/>
      <c r="GT139" s="368" t="s">
        <v>142</v>
      </c>
      <c r="GU139" s="367" t="s">
        <v>142</v>
      </c>
      <c r="GV139" s="368"/>
      <c r="GW139" s="367"/>
      <c r="GX139" s="368"/>
      <c r="GY139" s="367"/>
      <c r="GZ139" s="368"/>
      <c r="HA139" s="367"/>
      <c r="HB139" s="368"/>
      <c r="HC139" s="367"/>
      <c r="HD139" s="368"/>
      <c r="HE139" s="371" t="s">
        <v>142</v>
      </c>
      <c r="HF139" s="368"/>
      <c r="HG139" s="367"/>
      <c r="HH139" s="368" t="s">
        <v>142</v>
      </c>
      <c r="HI139" s="367" t="s">
        <v>142</v>
      </c>
      <c r="HJ139" s="368"/>
      <c r="HK139" s="367"/>
      <c r="HL139" s="368"/>
      <c r="HM139" s="367"/>
      <c r="HN139" s="368" t="s">
        <v>142</v>
      </c>
      <c r="HO139" s="367" t="s">
        <v>142</v>
      </c>
      <c r="HP139" s="368"/>
      <c r="HQ139" s="367"/>
      <c r="HR139" s="368" t="s">
        <v>142</v>
      </c>
      <c r="HS139" s="367" t="s">
        <v>142</v>
      </c>
      <c r="HT139" s="368"/>
      <c r="HU139" s="371"/>
      <c r="HV139" s="372" t="s">
        <v>142</v>
      </c>
      <c r="HW139" s="371"/>
      <c r="HX139" s="372"/>
      <c r="HY139" s="371"/>
      <c r="HZ139" s="372"/>
      <c r="IA139" s="371"/>
      <c r="IB139" s="372"/>
      <c r="IC139" s="371"/>
      <c r="ID139" s="372"/>
      <c r="IE139" s="371"/>
      <c r="IF139" s="372"/>
      <c r="IG139" s="371"/>
      <c r="IH139" s="372"/>
      <c r="II139" s="371"/>
      <c r="IJ139" s="372"/>
      <c r="IK139" s="371"/>
      <c r="IL139" s="372"/>
      <c r="IM139" s="371"/>
      <c r="IN139" s="372"/>
      <c r="IO139" s="371"/>
      <c r="IP139" s="372"/>
      <c r="IQ139" s="371"/>
      <c r="IR139" s="372"/>
      <c r="IS139" s="371"/>
      <c r="IT139" s="372"/>
      <c r="IU139" s="371"/>
      <c r="IV139" s="372"/>
      <c r="IW139" s="371"/>
      <c r="IX139" s="372"/>
      <c r="IY139" s="371"/>
      <c r="IZ139" s="372"/>
      <c r="JA139" s="371"/>
      <c r="JB139" s="372"/>
      <c r="JC139" s="371"/>
      <c r="JD139" s="372"/>
      <c r="JE139" s="371"/>
      <c r="JF139" s="372"/>
      <c r="JG139" s="371"/>
      <c r="JH139" s="372"/>
      <c r="JI139" s="371"/>
      <c r="JJ139" s="372"/>
      <c r="JK139" s="371"/>
      <c r="JL139" s="372"/>
      <c r="JM139" s="371"/>
      <c r="JN139" s="372"/>
      <c r="JO139" s="371"/>
      <c r="JP139" s="372"/>
      <c r="JQ139" s="371"/>
      <c r="JR139" s="372"/>
      <c r="JS139" s="371"/>
      <c r="JT139" s="372"/>
      <c r="JU139" s="371"/>
      <c r="JV139" s="372"/>
      <c r="JW139" s="371"/>
      <c r="JX139" s="372"/>
      <c r="JY139" s="371"/>
      <c r="JZ139" s="372"/>
      <c r="KA139" s="371"/>
      <c r="KB139" s="372"/>
      <c r="KC139" s="371"/>
      <c r="KD139" s="372"/>
      <c r="KE139" s="371"/>
      <c r="KF139" s="372"/>
      <c r="KG139" s="371"/>
      <c r="KH139" s="372"/>
      <c r="KI139" s="400"/>
      <c r="KJ139" s="401"/>
      <c r="KK139" s="400"/>
      <c r="KL139" s="401"/>
      <c r="KM139" s="400" t="s">
        <v>142</v>
      </c>
      <c r="KN139" s="401"/>
      <c r="KO139" s="404"/>
      <c r="KP139" s="402"/>
      <c r="KQ139" s="406" t="s">
        <v>142</v>
      </c>
      <c r="KR139" s="402"/>
      <c r="KS139" s="405"/>
      <c r="KT139" s="402"/>
      <c r="KU139" s="405"/>
      <c r="KV139" s="402"/>
      <c r="KW139" s="405"/>
      <c r="KX139" s="403"/>
      <c r="KY139" s="457"/>
      <c r="KZ139" s="402"/>
      <c r="LA139" s="400"/>
      <c r="LB139" s="400"/>
      <c r="LC139" s="400"/>
      <c r="LD139" s="400"/>
      <c r="LE139" s="400"/>
      <c r="LF139" s="462"/>
      <c r="LG139" s="462"/>
      <c r="LH139" s="462"/>
      <c r="LI139" s="462"/>
      <c r="LJ139" s="462"/>
      <c r="LK139" s="462"/>
      <c r="LL139" s="462"/>
      <c r="LM139" s="462"/>
      <c r="LN139" s="462"/>
      <c r="LO139" s="462"/>
      <c r="LP139" s="462"/>
      <c r="LQ139" s="402"/>
      <c r="LR139" s="402"/>
      <c r="LS139" s="402"/>
      <c r="LT139" s="402" t="s">
        <v>239</v>
      </c>
      <c r="LU139" s="402"/>
      <c r="LV139" s="402"/>
      <c r="LW139" s="402"/>
      <c r="LX139" s="402"/>
      <c r="LY139" s="402"/>
      <c r="LZ139" s="402"/>
      <c r="MA139" s="402"/>
      <c r="MB139" s="402"/>
      <c r="MC139" s="351"/>
      <c r="MD139" s="352"/>
      <c r="ME139" s="351"/>
      <c r="MF139" s="352"/>
      <c r="MG139" s="351"/>
      <c r="MH139" s="352"/>
      <c r="MI139" s="351"/>
      <c r="MJ139" s="352" t="s">
        <v>142</v>
      </c>
      <c r="MK139" s="351"/>
      <c r="ML139" s="352"/>
      <c r="MM139" s="351"/>
      <c r="MN139" s="352"/>
      <c r="MO139" s="491" t="s">
        <v>142</v>
      </c>
      <c r="MP139" s="492"/>
      <c r="MQ139" s="493"/>
      <c r="MR139" s="492"/>
      <c r="MS139" s="493"/>
      <c r="MT139" s="492"/>
      <c r="MU139" s="493"/>
      <c r="MV139" s="492"/>
      <c r="MW139" s="493"/>
      <c r="MX139" s="492"/>
      <c r="MY139" s="493"/>
      <c r="MZ139" s="492"/>
      <c r="NA139" s="493"/>
      <c r="NB139" s="492"/>
      <c r="NC139" s="499" t="s">
        <v>142</v>
      </c>
      <c r="ND139" s="500"/>
      <c r="NE139" s="493"/>
      <c r="NF139" s="492" t="s">
        <v>142</v>
      </c>
      <c r="NG139" s="493"/>
      <c r="NH139" s="492"/>
      <c r="NI139" s="499"/>
      <c r="NJ139" s="500"/>
      <c r="NK139" s="499"/>
      <c r="NL139" s="500"/>
      <c r="NM139" s="499"/>
      <c r="NN139" s="500"/>
      <c r="NO139" s="499"/>
      <c r="NP139" s="500"/>
      <c r="NQ139" s="499"/>
      <c r="NR139" s="500"/>
      <c r="NS139" s="499"/>
      <c r="NT139" s="500" t="s">
        <v>142</v>
      </c>
      <c r="NU139" s="551"/>
      <c r="NV139" s="552"/>
      <c r="NW139" s="554" t="s">
        <v>142</v>
      </c>
      <c r="NX139" s="555"/>
      <c r="NY139" s="499"/>
      <c r="NZ139" s="500"/>
      <c r="OA139" s="499"/>
      <c r="OB139" s="500" t="s">
        <v>142</v>
      </c>
      <c r="OC139" s="499"/>
      <c r="OD139" s="500"/>
      <c r="OE139" s="499" t="s">
        <v>142</v>
      </c>
      <c r="OF139" s="500"/>
      <c r="OG139" s="499"/>
      <c r="OH139" s="500"/>
      <c r="OI139" s="291"/>
    </row>
    <row r="140" spans="1:399" s="20" customFormat="1" ht="20.25" customHeight="1">
      <c r="D140" s="82"/>
      <c r="E140" s="82"/>
      <c r="F140" s="82"/>
      <c r="G140" s="44"/>
      <c r="H140" s="67"/>
      <c r="K140" s="16"/>
      <c r="L140" s="17"/>
      <c r="O140" s="17"/>
      <c r="Z140" s="17"/>
      <c r="AB140" s="15"/>
      <c r="AC140" s="15"/>
      <c r="AE140" s="15"/>
      <c r="AF140" s="15"/>
      <c r="AG140" s="15"/>
      <c r="AH140" s="15"/>
      <c r="AI140" s="15"/>
      <c r="AJ140" s="15"/>
      <c r="AK140" s="15"/>
      <c r="AL140" s="16"/>
      <c r="AN140" s="17"/>
      <c r="AO140" s="17"/>
      <c r="BC140" s="15"/>
      <c r="BD140" s="15"/>
      <c r="BE140" s="15"/>
      <c r="BF140" s="15"/>
      <c r="BG140" s="15"/>
      <c r="BH140" s="15"/>
      <c r="BI140" s="15"/>
      <c r="BJ140" s="15"/>
      <c r="BK140" s="15"/>
      <c r="BL140" s="15"/>
      <c r="BZ140" s="60"/>
      <c r="CB140" s="292"/>
      <c r="CN140" s="282"/>
      <c r="CO140" s="282"/>
      <c r="CP140" s="282"/>
      <c r="CZ140" s="660" t="s">
        <v>240</v>
      </c>
      <c r="DA140" s="660"/>
      <c r="DB140" s="660"/>
      <c r="DC140" s="660"/>
      <c r="DD140" s="660"/>
      <c r="DE140" s="660"/>
      <c r="DF140" s="660"/>
      <c r="DG140" s="660"/>
      <c r="DH140" s="660"/>
      <c r="DI140" s="660"/>
      <c r="DJ140" s="660"/>
      <c r="DK140" s="660"/>
      <c r="DL140" s="660"/>
      <c r="DM140" s="660"/>
      <c r="DN140" s="660"/>
      <c r="DO140" s="660"/>
      <c r="DP140" s="660"/>
      <c r="DQ140" s="660"/>
      <c r="DR140" s="660"/>
      <c r="DS140" s="660"/>
      <c r="DT140" s="660"/>
      <c r="DU140" s="660"/>
      <c r="DV140" s="660"/>
      <c r="DW140" s="660"/>
      <c r="DX140" s="660"/>
      <c r="DY140" s="660"/>
      <c r="DZ140" s="660"/>
      <c r="EA140" s="660"/>
      <c r="EB140" s="660"/>
      <c r="EC140" s="660"/>
      <c r="ED140" s="660"/>
      <c r="EE140" s="660"/>
      <c r="EF140" s="660"/>
      <c r="EG140" s="660"/>
      <c r="EH140" s="660"/>
      <c r="EI140" s="660"/>
      <c r="EJ140" s="660"/>
      <c r="EK140" s="660"/>
      <c r="EL140" s="660"/>
      <c r="EM140" s="660"/>
      <c r="EN140" s="660"/>
      <c r="EO140" s="660"/>
      <c r="EP140" s="660"/>
      <c r="EQ140" s="660"/>
      <c r="ER140" s="660"/>
      <c r="ES140" s="660"/>
      <c r="ET140" s="660"/>
      <c r="EU140" s="660"/>
      <c r="EV140" s="660"/>
      <c r="EW140" s="660"/>
      <c r="EX140" s="660"/>
      <c r="EY140" s="660"/>
      <c r="EZ140" s="660"/>
      <c r="FA140" s="660"/>
      <c r="FB140" s="660"/>
      <c r="FC140" s="660"/>
      <c r="FD140" s="660"/>
      <c r="FE140" s="660"/>
      <c r="FF140" s="660"/>
      <c r="FG140" s="660"/>
      <c r="FH140" s="660"/>
      <c r="FI140" s="660"/>
      <c r="FJ140" s="660"/>
      <c r="FK140" s="660"/>
      <c r="FL140" s="660"/>
      <c r="FM140" s="660"/>
      <c r="FN140" s="660"/>
      <c r="FO140" s="660"/>
      <c r="FP140" s="660"/>
      <c r="FQ140" s="660"/>
      <c r="FR140" s="660"/>
      <c r="FS140" s="660"/>
      <c r="FT140" s="660"/>
      <c r="FU140" s="660"/>
      <c r="FV140" s="660"/>
      <c r="FW140" s="660"/>
      <c r="FX140" s="660"/>
      <c r="FY140" s="660"/>
      <c r="FZ140" s="660"/>
      <c r="GA140" s="660"/>
      <c r="GB140" s="660"/>
      <c r="GC140" s="660"/>
      <c r="GD140" s="660"/>
      <c r="GE140" s="660"/>
      <c r="GF140" s="660"/>
      <c r="GG140" s="660"/>
      <c r="GH140" s="660"/>
      <c r="GI140" s="660"/>
      <c r="GJ140" s="660"/>
      <c r="GK140" s="660"/>
      <c r="GL140" s="660"/>
      <c r="GM140" s="660"/>
      <c r="GN140" s="660"/>
      <c r="GO140" s="660"/>
      <c r="GP140" s="660"/>
      <c r="GQ140" s="660"/>
      <c r="GR140" s="660"/>
      <c r="GS140" s="660"/>
      <c r="GT140" s="660"/>
      <c r="GU140" s="660"/>
      <c r="GV140" s="660"/>
      <c r="GW140" s="660"/>
      <c r="GX140" s="660"/>
      <c r="GY140" s="660"/>
      <c r="GZ140" s="660"/>
      <c r="HA140" s="660"/>
      <c r="HB140" s="660"/>
      <c r="HC140" s="660"/>
      <c r="HD140" s="660"/>
      <c r="HE140" s="660"/>
      <c r="HF140" s="660"/>
      <c r="HG140" s="660"/>
      <c r="HH140" s="660"/>
      <c r="HI140" s="660"/>
      <c r="HJ140" s="660"/>
      <c r="HK140" s="660"/>
      <c r="HL140" s="660"/>
      <c r="HM140" s="660"/>
      <c r="HN140" s="660"/>
      <c r="HO140" s="660"/>
      <c r="HP140" s="660"/>
      <c r="HQ140" s="660"/>
      <c r="HR140" s="660"/>
      <c r="HS140" s="660"/>
      <c r="HT140" s="660"/>
      <c r="HU140" s="660"/>
      <c r="HV140" s="660"/>
      <c r="HW140" s="660"/>
      <c r="HX140" s="660"/>
      <c r="HY140" s="660"/>
      <c r="HZ140" s="660"/>
      <c r="IA140" s="660"/>
      <c r="IB140" s="660"/>
      <c r="IC140" s="660"/>
      <c r="ID140" s="660"/>
      <c r="IE140" s="660"/>
      <c r="IF140" s="660"/>
      <c r="IG140" s="660"/>
      <c r="IH140" s="660"/>
      <c r="II140" s="660"/>
      <c r="IJ140" s="660"/>
      <c r="IK140" s="660"/>
      <c r="IL140" s="660"/>
      <c r="IM140" s="660"/>
      <c r="IN140" s="660"/>
      <c r="IO140" s="660"/>
      <c r="IP140" s="660"/>
      <c r="IQ140" s="660"/>
      <c r="IR140" s="660"/>
      <c r="IS140" s="660"/>
      <c r="IT140" s="660"/>
      <c r="IU140" s="660"/>
      <c r="IV140" s="660"/>
      <c r="IW140" s="660"/>
      <c r="IX140" s="660"/>
      <c r="IY140" s="660"/>
      <c r="IZ140" s="660"/>
      <c r="JA140" s="660"/>
      <c r="JB140" s="660"/>
      <c r="JC140" s="660"/>
      <c r="JD140" s="660"/>
      <c r="JE140" s="660"/>
      <c r="JF140" s="660"/>
      <c r="JG140" s="660"/>
      <c r="JH140" s="660"/>
      <c r="JI140" s="660"/>
      <c r="JJ140" s="660"/>
      <c r="JK140" s="660"/>
      <c r="JL140" s="660"/>
      <c r="JM140" s="660"/>
      <c r="JN140" s="660"/>
      <c r="JO140" s="660"/>
      <c r="JP140" s="660"/>
      <c r="JQ140" s="660"/>
      <c r="JR140" s="660"/>
      <c r="JS140" s="660"/>
      <c r="JT140" s="660"/>
      <c r="JU140" s="660"/>
      <c r="JV140" s="660"/>
      <c r="JW140" s="660"/>
      <c r="JX140" s="660"/>
      <c r="JY140" s="660"/>
      <c r="JZ140" s="660"/>
      <c r="KA140" s="660"/>
      <c r="KB140" s="660"/>
      <c r="KC140" s="660"/>
      <c r="KD140" s="660"/>
      <c r="KE140" s="660"/>
      <c r="KF140" s="660"/>
      <c r="KG140" s="660"/>
      <c r="KH140" s="660"/>
      <c r="KI140" s="660"/>
      <c r="KJ140" s="660"/>
      <c r="KK140" s="660"/>
      <c r="KL140" s="660"/>
      <c r="KM140" s="660"/>
      <c r="KN140" s="660"/>
      <c r="KO140" s="660"/>
      <c r="KP140" s="660"/>
      <c r="KQ140" s="660"/>
      <c r="KR140" s="660"/>
      <c r="KS140" s="660"/>
      <c r="KT140" s="660"/>
      <c r="KU140" s="660"/>
      <c r="KV140" s="660"/>
      <c r="KW140" s="660"/>
      <c r="KX140" s="660"/>
      <c r="KY140" s="660"/>
      <c r="KZ140" s="660"/>
      <c r="LA140" s="660"/>
      <c r="LB140" s="660"/>
      <c r="LC140" s="660"/>
      <c r="LD140" s="660"/>
      <c r="LE140" s="660"/>
      <c r="LF140" s="660"/>
      <c r="LG140" s="660"/>
      <c r="LH140" s="660"/>
      <c r="LI140" s="660"/>
      <c r="LJ140" s="660"/>
      <c r="LK140" s="660"/>
      <c r="LL140" s="660"/>
      <c r="LM140" s="660"/>
      <c r="LN140" s="660"/>
      <c r="LO140" s="660"/>
      <c r="LP140" s="660"/>
      <c r="LQ140" s="660"/>
      <c r="LR140" s="660"/>
      <c r="LS140" s="660"/>
      <c r="LT140" s="660"/>
      <c r="LU140" s="660"/>
      <c r="LV140" s="660"/>
      <c r="LW140" s="660"/>
      <c r="LX140" s="660"/>
      <c r="LY140" s="660"/>
      <c r="LZ140" s="660"/>
      <c r="MA140" s="660"/>
      <c r="MB140" s="660"/>
      <c r="MC140" s="660"/>
      <c r="MD140" s="660"/>
      <c r="ME140" s="660"/>
      <c r="MF140" s="660"/>
      <c r="MG140" s="660"/>
      <c r="MH140" s="660"/>
      <c r="MI140" s="660"/>
      <c r="MJ140" s="660"/>
      <c r="MK140" s="660"/>
      <c r="ML140" s="660"/>
      <c r="MM140" s="660"/>
      <c r="MN140" s="660"/>
      <c r="MO140" s="660"/>
      <c r="MP140" s="660"/>
      <c r="MQ140" s="660"/>
      <c r="MR140" s="660"/>
      <c r="MS140" s="660"/>
      <c r="MT140" s="660"/>
      <c r="MU140" s="660"/>
      <c r="MV140" s="660"/>
      <c r="MW140" s="660"/>
      <c r="MX140" s="660"/>
      <c r="MY140" s="660"/>
      <c r="MZ140" s="660"/>
      <c r="NA140" s="660"/>
      <c r="NB140" s="660"/>
      <c r="NC140" s="660"/>
      <c r="ND140" s="660"/>
      <c r="NE140" s="660"/>
      <c r="NF140" s="660"/>
      <c r="NG140" s="660"/>
      <c r="NH140" s="660"/>
      <c r="NI140" s="660"/>
      <c r="NJ140" s="660"/>
      <c r="NK140" s="660"/>
      <c r="NL140" s="660"/>
      <c r="NM140" s="660"/>
      <c r="NN140" s="660"/>
      <c r="NO140" s="660"/>
      <c r="NP140" s="660"/>
      <c r="NQ140" s="660"/>
      <c r="NR140" s="660"/>
      <c r="NS140" s="660"/>
      <c r="NT140" s="660"/>
      <c r="NU140" s="660"/>
      <c r="NV140" s="660"/>
      <c r="NW140" s="660"/>
      <c r="NX140" s="660"/>
      <c r="NY140" s="660"/>
      <c r="NZ140" s="660"/>
      <c r="OA140" s="660"/>
      <c r="OB140" s="660"/>
      <c r="OC140" s="660"/>
      <c r="OD140" s="660"/>
      <c r="OE140" s="660"/>
      <c r="OF140" s="660"/>
    </row>
    <row r="141" spans="1:399" s="20" customFormat="1" ht="22.5" customHeight="1">
      <c r="A141" s="15"/>
      <c r="B141" s="15"/>
      <c r="D141" s="82"/>
      <c r="E141" s="82"/>
      <c r="F141" s="82"/>
      <c r="G141" s="44"/>
      <c r="H141" s="67"/>
      <c r="K141" s="16"/>
      <c r="L141" s="16"/>
      <c r="M141" s="15"/>
      <c r="N141" s="15"/>
      <c r="O141" s="16"/>
      <c r="P141" s="15"/>
      <c r="Q141" s="15"/>
      <c r="R141" s="15"/>
      <c r="S141" s="15"/>
      <c r="T141" s="15"/>
      <c r="U141" s="15"/>
      <c r="V141" s="15"/>
      <c r="Z141" s="17"/>
      <c r="AA141" s="15"/>
      <c r="AB141" s="15"/>
      <c r="AC141" s="15"/>
      <c r="AD141" s="15"/>
      <c r="AE141" s="15"/>
      <c r="AF141" s="15"/>
      <c r="AG141" s="15"/>
      <c r="AH141" s="15"/>
      <c r="AI141" s="15"/>
      <c r="AJ141" s="15"/>
      <c r="AK141" s="15"/>
      <c r="AL141" s="16"/>
      <c r="AN141" s="17"/>
      <c r="AO141" s="17"/>
      <c r="AQ141" s="22"/>
      <c r="AR141" s="22"/>
      <c r="AS141" s="22"/>
      <c r="AT141" s="22"/>
      <c r="AU141" s="22"/>
      <c r="AV141" s="97"/>
      <c r="AW141" s="97"/>
      <c r="AX141" s="97"/>
      <c r="AY141" s="97"/>
      <c r="AZ141" s="97"/>
      <c r="BA141" s="97"/>
      <c r="BC141" s="15"/>
      <c r="BD141" s="15"/>
      <c r="BE141" s="15"/>
      <c r="BF141" s="15"/>
      <c r="BG141" s="15"/>
      <c r="BH141" s="15"/>
      <c r="BI141" s="15"/>
      <c r="BJ141" s="15"/>
      <c r="BK141" s="15"/>
      <c r="BL141" s="15"/>
      <c r="CB141" s="292"/>
      <c r="CN141" s="282"/>
      <c r="CO141" s="282"/>
      <c r="CP141" s="282"/>
      <c r="CZ141" s="661"/>
      <c r="DA141" s="661"/>
      <c r="DB141" s="661"/>
      <c r="DC141" s="661"/>
      <c r="DD141" s="661"/>
      <c r="DE141" s="661"/>
      <c r="DF141" s="661"/>
      <c r="DG141" s="661"/>
      <c r="DH141" s="661"/>
      <c r="DI141" s="661"/>
      <c r="DJ141" s="661"/>
      <c r="DK141" s="661"/>
      <c r="DL141" s="661"/>
      <c r="DM141" s="661"/>
      <c r="DN141" s="661"/>
      <c r="DO141" s="661"/>
      <c r="DP141" s="661"/>
      <c r="DQ141" s="661"/>
      <c r="DR141" s="661"/>
      <c r="DS141" s="661"/>
      <c r="DT141" s="661"/>
      <c r="DU141" s="661"/>
      <c r="DV141" s="661"/>
      <c r="DW141" s="661"/>
      <c r="DX141" s="661"/>
      <c r="DY141" s="661"/>
      <c r="DZ141" s="661"/>
      <c r="EA141" s="661"/>
      <c r="EB141" s="661"/>
      <c r="EC141" s="661"/>
      <c r="ED141" s="661"/>
      <c r="EE141" s="661"/>
      <c r="EF141" s="661"/>
      <c r="EG141" s="661"/>
      <c r="EH141" s="661"/>
      <c r="EI141" s="661"/>
      <c r="EJ141" s="661"/>
      <c r="EK141" s="661"/>
      <c r="EL141" s="661"/>
      <c r="EM141" s="661"/>
      <c r="EN141" s="661"/>
      <c r="EO141" s="661"/>
      <c r="EP141" s="661"/>
      <c r="EQ141" s="661"/>
      <c r="ER141" s="661"/>
      <c r="ES141" s="661"/>
      <c r="ET141" s="661"/>
      <c r="EU141" s="661"/>
      <c r="EV141" s="661"/>
      <c r="EW141" s="661"/>
      <c r="EX141" s="661"/>
      <c r="EY141" s="661"/>
      <c r="EZ141" s="661"/>
      <c r="FA141" s="661"/>
      <c r="FB141" s="661"/>
      <c r="FC141" s="661"/>
      <c r="FD141" s="661"/>
      <c r="FE141" s="661"/>
      <c r="FF141" s="661"/>
      <c r="FG141" s="661"/>
      <c r="FH141" s="661"/>
      <c r="FI141" s="661"/>
      <c r="FJ141" s="661"/>
      <c r="FK141" s="661"/>
      <c r="FL141" s="661"/>
      <c r="FM141" s="661"/>
      <c r="FN141" s="661"/>
      <c r="FO141" s="661"/>
      <c r="FP141" s="661"/>
      <c r="FQ141" s="661"/>
      <c r="FR141" s="661"/>
      <c r="FS141" s="661"/>
      <c r="FT141" s="661"/>
      <c r="FU141" s="661"/>
      <c r="FV141" s="661"/>
      <c r="FW141" s="661"/>
      <c r="FX141" s="661"/>
      <c r="FY141" s="661"/>
      <c r="FZ141" s="661"/>
      <c r="GA141" s="661"/>
      <c r="GB141" s="661"/>
      <c r="GC141" s="661"/>
      <c r="GD141" s="661"/>
      <c r="GE141" s="661"/>
      <c r="GF141" s="661"/>
      <c r="GG141" s="661"/>
      <c r="GH141" s="661"/>
      <c r="GI141" s="661"/>
      <c r="GJ141" s="661"/>
      <c r="GK141" s="661"/>
      <c r="GL141" s="661"/>
      <c r="GM141" s="661"/>
      <c r="GN141" s="661"/>
      <c r="GO141" s="661"/>
      <c r="GP141" s="661"/>
      <c r="GQ141" s="661"/>
      <c r="GR141" s="661"/>
      <c r="GS141" s="661"/>
      <c r="GT141" s="661"/>
      <c r="GU141" s="661"/>
      <c r="GV141" s="661"/>
      <c r="GW141" s="661"/>
      <c r="GX141" s="661"/>
      <c r="GY141" s="661"/>
      <c r="GZ141" s="661"/>
      <c r="HA141" s="661"/>
      <c r="HB141" s="661"/>
      <c r="HC141" s="661"/>
      <c r="HD141" s="661"/>
      <c r="HE141" s="661"/>
      <c r="HF141" s="661"/>
      <c r="HG141" s="661"/>
      <c r="HH141" s="661"/>
      <c r="HI141" s="661"/>
      <c r="HJ141" s="661"/>
      <c r="HK141" s="661"/>
      <c r="HL141" s="661"/>
      <c r="HM141" s="661"/>
      <c r="HN141" s="661"/>
      <c r="HO141" s="661"/>
      <c r="HP141" s="661"/>
      <c r="HQ141" s="661"/>
      <c r="HR141" s="661"/>
      <c r="HS141" s="661"/>
      <c r="HT141" s="661"/>
      <c r="HU141" s="661"/>
      <c r="HV141" s="661"/>
      <c r="HW141" s="661"/>
      <c r="HX141" s="661"/>
      <c r="HY141" s="661"/>
      <c r="HZ141" s="661"/>
      <c r="IA141" s="661"/>
      <c r="IB141" s="661"/>
      <c r="IC141" s="661"/>
      <c r="ID141" s="661"/>
      <c r="IE141" s="661"/>
      <c r="IF141" s="661"/>
      <c r="IG141" s="661"/>
      <c r="IH141" s="661"/>
      <c r="II141" s="661"/>
      <c r="IJ141" s="661"/>
      <c r="IK141" s="661"/>
      <c r="IL141" s="661"/>
      <c r="IM141" s="661"/>
      <c r="IN141" s="661"/>
      <c r="IO141" s="661"/>
      <c r="IP141" s="661"/>
      <c r="IQ141" s="661"/>
      <c r="IR141" s="661"/>
      <c r="IS141" s="661"/>
      <c r="IT141" s="661"/>
      <c r="IU141" s="661"/>
      <c r="IV141" s="661"/>
      <c r="IW141" s="661"/>
      <c r="IX141" s="661"/>
      <c r="IY141" s="661"/>
      <c r="IZ141" s="661"/>
      <c r="JA141" s="661"/>
      <c r="JB141" s="661"/>
      <c r="JC141" s="661"/>
      <c r="JD141" s="661"/>
      <c r="JE141" s="661"/>
      <c r="JF141" s="661"/>
      <c r="JG141" s="661"/>
      <c r="JH141" s="661"/>
      <c r="JI141" s="661"/>
      <c r="JJ141" s="661"/>
      <c r="JK141" s="661"/>
      <c r="JL141" s="661"/>
      <c r="JM141" s="661"/>
      <c r="JN141" s="661"/>
      <c r="JO141" s="661"/>
      <c r="JP141" s="661"/>
      <c r="JQ141" s="661"/>
      <c r="JR141" s="661"/>
      <c r="JS141" s="661"/>
      <c r="JT141" s="661"/>
      <c r="JU141" s="661"/>
      <c r="JV141" s="661"/>
      <c r="JW141" s="661"/>
      <c r="JX141" s="661"/>
      <c r="JY141" s="661"/>
      <c r="JZ141" s="661"/>
      <c r="KA141" s="661"/>
      <c r="KB141" s="661"/>
      <c r="KC141" s="661"/>
      <c r="KD141" s="661"/>
      <c r="KE141" s="661"/>
      <c r="KF141" s="661"/>
      <c r="KG141" s="661"/>
      <c r="KH141" s="661"/>
      <c r="KI141" s="661"/>
      <c r="KJ141" s="661"/>
      <c r="KK141" s="661"/>
      <c r="KL141" s="661"/>
      <c r="KM141" s="661"/>
      <c r="KN141" s="661"/>
      <c r="KO141" s="661"/>
      <c r="KP141" s="661"/>
      <c r="KQ141" s="661"/>
      <c r="KR141" s="661"/>
      <c r="KS141" s="661"/>
      <c r="KT141" s="661"/>
      <c r="KU141" s="661"/>
      <c r="KV141" s="661"/>
      <c r="KW141" s="661"/>
      <c r="KX141" s="661"/>
      <c r="KY141" s="661"/>
      <c r="KZ141" s="661"/>
      <c r="LA141" s="661"/>
      <c r="LB141" s="661"/>
      <c r="LC141" s="661"/>
      <c r="LD141" s="661"/>
      <c r="LE141" s="661"/>
      <c r="LF141" s="661"/>
      <c r="LG141" s="661"/>
      <c r="LH141" s="661"/>
      <c r="LI141" s="661"/>
      <c r="LJ141" s="661"/>
      <c r="LK141" s="661"/>
      <c r="LL141" s="661"/>
      <c r="LM141" s="661"/>
      <c r="LN141" s="661"/>
      <c r="LO141" s="661"/>
      <c r="LP141" s="661"/>
      <c r="LQ141" s="661"/>
      <c r="LR141" s="661"/>
      <c r="LS141" s="661"/>
      <c r="LT141" s="661"/>
      <c r="LU141" s="661"/>
      <c r="LV141" s="661"/>
      <c r="LW141" s="661"/>
      <c r="LX141" s="661"/>
      <c r="LY141" s="661"/>
      <c r="LZ141" s="661"/>
      <c r="MA141" s="661"/>
      <c r="MB141" s="661"/>
      <c r="MC141" s="661"/>
      <c r="MD141" s="661"/>
      <c r="ME141" s="661"/>
      <c r="MF141" s="661"/>
      <c r="MG141" s="661"/>
      <c r="MH141" s="661"/>
      <c r="MI141" s="661"/>
      <c r="MJ141" s="661"/>
      <c r="MK141" s="661"/>
      <c r="ML141" s="661"/>
      <c r="MM141" s="661"/>
      <c r="MN141" s="661"/>
      <c r="MO141" s="661"/>
      <c r="MP141" s="661"/>
      <c r="MQ141" s="661"/>
      <c r="MR141" s="661"/>
      <c r="MS141" s="661"/>
      <c r="MT141" s="661"/>
      <c r="MU141" s="661"/>
      <c r="MV141" s="661"/>
      <c r="MW141" s="661"/>
      <c r="MX141" s="661"/>
      <c r="MY141" s="661"/>
      <c r="MZ141" s="661"/>
      <c r="NA141" s="661"/>
      <c r="NB141" s="661"/>
      <c r="NC141" s="661"/>
      <c r="ND141" s="661"/>
      <c r="NE141" s="661"/>
      <c r="NF141" s="661"/>
      <c r="NG141" s="661"/>
      <c r="NH141" s="661"/>
      <c r="NI141" s="661"/>
      <c r="NJ141" s="661"/>
      <c r="NK141" s="661"/>
      <c r="NL141" s="661"/>
      <c r="NM141" s="661"/>
      <c r="NN141" s="661"/>
      <c r="NO141" s="661"/>
      <c r="NP141" s="661"/>
      <c r="NQ141" s="661"/>
      <c r="NR141" s="661"/>
      <c r="NS141" s="661"/>
      <c r="NT141" s="661"/>
      <c r="NU141" s="661"/>
      <c r="NV141" s="661"/>
      <c r="NW141" s="661"/>
      <c r="NX141" s="661"/>
      <c r="NY141" s="661"/>
      <c r="NZ141" s="661"/>
      <c r="OA141" s="661"/>
      <c r="OB141" s="661"/>
      <c r="OC141" s="661"/>
      <c r="OD141" s="661"/>
      <c r="OE141" s="661"/>
      <c r="OF141" s="661"/>
    </row>
    <row r="142" spans="1:399" s="292" customFormat="1" ht="22.5" customHeight="1">
      <c r="A142" s="290"/>
      <c r="B142" s="290"/>
      <c r="D142" s="82"/>
      <c r="E142" s="82"/>
      <c r="F142" s="82"/>
      <c r="G142" s="44"/>
      <c r="H142" s="67"/>
      <c r="K142" s="16"/>
      <c r="L142" s="16"/>
      <c r="M142" s="290"/>
      <c r="N142" s="290"/>
      <c r="O142" s="16"/>
      <c r="P142" s="290"/>
      <c r="Q142" s="290"/>
      <c r="R142" s="290"/>
      <c r="S142" s="290"/>
      <c r="T142" s="290"/>
      <c r="U142" s="290"/>
      <c r="V142" s="290"/>
      <c r="Z142" s="291"/>
      <c r="AA142" s="290"/>
      <c r="AB142" s="290"/>
      <c r="AC142" s="290"/>
      <c r="AD142" s="290"/>
      <c r="AE142" s="290"/>
      <c r="AF142" s="290"/>
      <c r="AG142" s="290"/>
      <c r="AH142" s="290"/>
      <c r="AI142" s="290"/>
      <c r="AJ142" s="290"/>
      <c r="AK142" s="290"/>
      <c r="AL142" s="16"/>
      <c r="AN142" s="291"/>
      <c r="AO142" s="291"/>
      <c r="AQ142" s="22"/>
      <c r="AR142" s="22"/>
      <c r="AS142" s="22"/>
      <c r="AT142" s="22"/>
      <c r="AU142" s="22"/>
      <c r="AV142" s="97"/>
      <c r="AW142" s="97"/>
      <c r="AX142" s="97"/>
      <c r="AY142" s="97"/>
      <c r="AZ142" s="97"/>
      <c r="BA142" s="97"/>
      <c r="BC142" s="290"/>
      <c r="BD142" s="290"/>
      <c r="BE142" s="290"/>
      <c r="BF142" s="290"/>
      <c r="BG142" s="290"/>
      <c r="BH142" s="290"/>
      <c r="BI142" s="290"/>
      <c r="BJ142" s="290"/>
      <c r="BK142" s="290"/>
      <c r="BL142" s="290"/>
      <c r="CN142" s="282"/>
      <c r="CO142" s="282"/>
      <c r="CP142" s="282"/>
      <c r="CZ142" s="409"/>
      <c r="DA142" s="409"/>
      <c r="DB142" s="409"/>
      <c r="DC142" s="409"/>
      <c r="DD142" s="409"/>
      <c r="DE142" s="409"/>
      <c r="DF142" s="409"/>
      <c r="DG142" s="409"/>
      <c r="DH142" s="409"/>
      <c r="DI142" s="409"/>
      <c r="DJ142" s="409"/>
      <c r="DK142" s="409"/>
      <c r="DL142" s="409"/>
      <c r="DM142" s="409"/>
      <c r="DN142" s="409"/>
      <c r="DO142" s="409"/>
      <c r="DP142" s="409"/>
      <c r="DQ142" s="409"/>
      <c r="DR142" s="409"/>
      <c r="DS142" s="409"/>
      <c r="DT142" s="409"/>
      <c r="DU142" s="409"/>
      <c r="DV142" s="409"/>
      <c r="DW142" s="409"/>
      <c r="DX142" s="409"/>
      <c r="DY142" s="409"/>
      <c r="DZ142" s="409"/>
      <c r="EA142" s="409"/>
      <c r="EB142" s="409"/>
      <c r="EC142" s="409"/>
      <c r="ED142" s="409"/>
      <c r="EE142" s="409"/>
      <c r="EF142" s="409"/>
      <c r="EG142" s="409"/>
      <c r="EH142" s="409"/>
      <c r="EI142" s="409"/>
      <c r="EJ142" s="409"/>
      <c r="EK142" s="409"/>
      <c r="EL142" s="409"/>
      <c r="EM142" s="409"/>
      <c r="EN142" s="409"/>
      <c r="EO142" s="409"/>
      <c r="EP142" s="409"/>
      <c r="EQ142" s="409"/>
      <c r="ER142" s="409"/>
      <c r="ES142" s="409"/>
      <c r="ET142" s="409"/>
      <c r="EU142" s="409"/>
      <c r="EV142" s="409"/>
      <c r="EW142" s="409"/>
      <c r="EX142" s="409"/>
      <c r="EY142" s="409"/>
      <c r="EZ142" s="409"/>
      <c r="FA142" s="409"/>
      <c r="FB142" s="409"/>
      <c r="FC142" s="409"/>
      <c r="FD142" s="409"/>
      <c r="FE142" s="409"/>
      <c r="FF142" s="409"/>
      <c r="FG142" s="409"/>
      <c r="FH142" s="409"/>
      <c r="FI142" s="409"/>
      <c r="FJ142" s="409"/>
      <c r="FK142" s="409"/>
      <c r="FL142" s="409"/>
      <c r="FM142" s="409"/>
      <c r="FN142" s="409"/>
      <c r="FO142" s="409"/>
      <c r="FP142" s="409"/>
      <c r="FQ142" s="409"/>
      <c r="FR142" s="409"/>
      <c r="FS142" s="409"/>
      <c r="FT142" s="409"/>
      <c r="FU142" s="409"/>
      <c r="FV142" s="409"/>
      <c r="FW142" s="409"/>
      <c r="FX142" s="409"/>
      <c r="FY142" s="409"/>
      <c r="FZ142" s="409"/>
      <c r="GA142" s="409"/>
      <c r="GB142" s="409"/>
      <c r="GC142" s="409"/>
      <c r="GD142" s="409"/>
      <c r="GE142" s="409"/>
      <c r="GF142" s="409"/>
      <c r="GG142" s="409"/>
      <c r="GH142" s="409"/>
      <c r="GI142" s="409"/>
      <c r="GJ142" s="409"/>
      <c r="GK142" s="409"/>
      <c r="GL142" s="409"/>
      <c r="GM142" s="409"/>
      <c r="GN142" s="409"/>
      <c r="GO142" s="409"/>
      <c r="GP142" s="409"/>
      <c r="GQ142" s="409"/>
      <c r="GR142" s="409"/>
      <c r="GS142" s="409"/>
      <c r="GT142" s="409"/>
      <c r="GU142" s="409"/>
      <c r="GV142" s="409"/>
      <c r="GW142" s="409"/>
      <c r="GX142" s="409"/>
      <c r="GY142" s="409"/>
      <c r="GZ142" s="409"/>
      <c r="HA142" s="409"/>
      <c r="HB142" s="409"/>
      <c r="HC142" s="409"/>
      <c r="HD142" s="409"/>
      <c r="HE142" s="409"/>
      <c r="HF142" s="409"/>
      <c r="HG142" s="409"/>
      <c r="HH142" s="409"/>
      <c r="HI142" s="409"/>
      <c r="HJ142" s="409"/>
      <c r="HK142" s="409"/>
      <c r="HL142" s="409"/>
      <c r="HM142" s="409"/>
      <c r="HN142" s="409"/>
      <c r="HO142" s="409"/>
      <c r="HP142" s="409"/>
      <c r="HQ142" s="409"/>
      <c r="HR142" s="409"/>
      <c r="HS142" s="409"/>
      <c r="HT142" s="409"/>
      <c r="HU142" s="409"/>
      <c r="HV142" s="409"/>
      <c r="HW142" s="409"/>
      <c r="HX142" s="409"/>
      <c r="HY142" s="409"/>
      <c r="HZ142" s="409"/>
      <c r="IA142" s="409"/>
      <c r="IB142" s="409"/>
      <c r="IC142" s="409"/>
      <c r="ID142" s="409"/>
      <c r="IE142" s="409"/>
      <c r="IF142" s="409"/>
      <c r="IG142" s="409"/>
      <c r="IH142" s="409"/>
      <c r="II142" s="409"/>
      <c r="IJ142" s="409"/>
      <c r="IK142" s="409"/>
      <c r="IL142" s="409"/>
      <c r="IM142" s="409"/>
      <c r="IN142" s="409"/>
      <c r="IO142" s="409"/>
      <c r="IP142" s="409"/>
      <c r="IQ142" s="409"/>
      <c r="IR142" s="409"/>
      <c r="IS142" s="409"/>
      <c r="IT142" s="409"/>
      <c r="IU142" s="409"/>
      <c r="IV142" s="409"/>
      <c r="IW142" s="409"/>
      <c r="IX142" s="409"/>
      <c r="IY142" s="409"/>
      <c r="IZ142" s="409"/>
      <c r="JA142" s="409"/>
      <c r="JB142" s="409"/>
      <c r="JC142" s="409"/>
      <c r="JD142" s="409"/>
      <c r="JE142" s="409"/>
      <c r="JF142" s="409"/>
      <c r="JG142" s="409"/>
      <c r="JH142" s="409"/>
      <c r="JI142" s="409"/>
      <c r="JJ142" s="409"/>
      <c r="JK142" s="409"/>
      <c r="JL142" s="409"/>
      <c r="JM142" s="409"/>
      <c r="JN142" s="409"/>
      <c r="JO142" s="409"/>
      <c r="JP142" s="409"/>
      <c r="JQ142" s="409"/>
      <c r="JR142" s="409"/>
      <c r="JS142" s="409"/>
      <c r="JT142" s="409"/>
      <c r="JU142" s="409"/>
      <c r="JV142" s="409"/>
      <c r="JW142" s="409"/>
      <c r="JX142" s="409"/>
      <c r="JY142" s="409"/>
      <c r="JZ142" s="409"/>
      <c r="KA142" s="409"/>
      <c r="KB142" s="409"/>
      <c r="KC142" s="409"/>
      <c r="KD142" s="409"/>
      <c r="KE142" s="409"/>
      <c r="KF142" s="409"/>
      <c r="KG142" s="409"/>
      <c r="KH142" s="409"/>
      <c r="KI142" s="409"/>
      <c r="KJ142" s="409"/>
      <c r="KK142" s="409"/>
      <c r="KL142" s="409"/>
      <c r="KM142" s="409"/>
      <c r="KN142" s="409"/>
      <c r="KO142" s="409"/>
      <c r="KP142" s="409"/>
      <c r="KQ142" s="409"/>
      <c r="KR142" s="409"/>
      <c r="KS142" s="409"/>
      <c r="KT142" s="409"/>
      <c r="KU142" s="409"/>
      <c r="KV142" s="409"/>
      <c r="KW142" s="409"/>
      <c r="KX142" s="409"/>
      <c r="KY142" s="409"/>
      <c r="KZ142" s="409"/>
      <c r="LA142" s="409"/>
      <c r="LB142" s="409"/>
      <c r="LC142" s="409"/>
      <c r="LD142" s="409"/>
      <c r="LE142" s="302"/>
      <c r="LF142" s="302"/>
      <c r="LG142" s="302"/>
      <c r="LH142" s="302"/>
      <c r="LI142" s="302"/>
      <c r="LJ142" s="302"/>
      <c r="LK142" s="302"/>
      <c r="LL142" s="302"/>
      <c r="LM142" s="302"/>
      <c r="LN142" s="302"/>
      <c r="LO142" s="302"/>
      <c r="LP142" s="302"/>
      <c r="LQ142" s="302"/>
      <c r="LR142" s="302"/>
      <c r="LS142" s="302"/>
      <c r="LT142" s="302"/>
      <c r="LU142" s="302"/>
      <c r="LV142" s="302"/>
      <c r="LW142" s="302"/>
      <c r="LX142" s="302"/>
      <c r="LY142" s="302"/>
      <c r="LZ142" s="302"/>
      <c r="MA142" s="302"/>
      <c r="MB142" s="302"/>
      <c r="MC142" s="302"/>
      <c r="MD142" s="302"/>
      <c r="ME142" s="302"/>
      <c r="MF142" s="302"/>
      <c r="MG142" s="302"/>
      <c r="MH142" s="302"/>
      <c r="MI142" s="302"/>
      <c r="MJ142" s="302"/>
      <c r="MK142" s="302"/>
      <c r="ML142" s="302"/>
      <c r="MM142" s="302"/>
      <c r="MN142" s="302"/>
      <c r="MO142" s="302"/>
      <c r="MP142" s="302"/>
      <c r="MQ142" s="302"/>
      <c r="MR142" s="302"/>
      <c r="MS142" s="302"/>
      <c r="MT142" s="302"/>
      <c r="MU142" s="302"/>
      <c r="MV142" s="302"/>
      <c r="MW142" s="302"/>
      <c r="MX142" s="302"/>
      <c r="MY142" s="302"/>
      <c r="MZ142" s="302"/>
      <c r="NA142" s="302"/>
      <c r="NB142" s="302"/>
      <c r="NC142" s="302"/>
      <c r="ND142" s="302"/>
      <c r="NE142" s="302"/>
      <c r="NF142" s="302"/>
      <c r="NG142" s="302"/>
      <c r="NH142" s="302"/>
      <c r="NI142" s="302"/>
      <c r="NJ142" s="302"/>
      <c r="NK142" s="302"/>
      <c r="NL142" s="302"/>
      <c r="NM142" s="302"/>
      <c r="NN142" s="302"/>
      <c r="NO142" s="302"/>
      <c r="NP142" s="302"/>
      <c r="NQ142" s="302"/>
      <c r="NR142" s="302"/>
      <c r="NS142" s="302"/>
      <c r="NT142" s="302"/>
      <c r="NU142" s="302"/>
      <c r="NV142" s="302"/>
      <c r="NW142" s="302"/>
      <c r="NX142" s="302"/>
      <c r="NY142" s="568"/>
      <c r="NZ142" s="568"/>
      <c r="OA142" s="575"/>
      <c r="OB142" s="575"/>
      <c r="OC142" s="578"/>
      <c r="OD142" s="578"/>
    </row>
    <row r="143" spans="1:399" s="292" customFormat="1" ht="22.5" customHeight="1">
      <c r="A143" s="290"/>
      <c r="B143" s="290"/>
      <c r="D143" s="82"/>
      <c r="E143" s="82"/>
      <c r="F143" s="82"/>
      <c r="G143" s="44"/>
      <c r="H143" s="67"/>
      <c r="K143" s="16"/>
      <c r="L143" s="16"/>
      <c r="M143" s="290"/>
      <c r="N143" s="290"/>
      <c r="O143" s="16"/>
      <c r="P143" s="290"/>
      <c r="Q143" s="290"/>
      <c r="R143" s="290"/>
      <c r="S143" s="290"/>
      <c r="T143" s="290"/>
      <c r="U143" s="290"/>
      <c r="V143" s="290"/>
      <c r="Z143" s="291"/>
      <c r="AA143" s="290"/>
      <c r="AB143" s="290"/>
      <c r="AC143" s="290"/>
      <c r="AD143" s="290"/>
      <c r="AE143" s="290"/>
      <c r="AF143" s="290"/>
      <c r="AG143" s="290"/>
      <c r="AH143" s="290"/>
      <c r="AI143" s="290"/>
      <c r="AJ143" s="290"/>
      <c r="AK143" s="290"/>
      <c r="AL143" s="16"/>
      <c r="AN143" s="291"/>
      <c r="AO143" s="291"/>
      <c r="AQ143" s="22"/>
      <c r="AR143" s="22"/>
      <c r="AS143" s="22"/>
      <c r="AT143" s="22"/>
      <c r="AU143" s="22"/>
      <c r="AV143" s="97"/>
      <c r="AW143" s="97"/>
      <c r="AX143" s="97"/>
      <c r="AY143" s="97"/>
      <c r="AZ143" s="97"/>
      <c r="BA143" s="97"/>
      <c r="BC143" s="290"/>
      <c r="BD143" s="290"/>
      <c r="BE143" s="290"/>
      <c r="BF143" s="290"/>
      <c r="BG143" s="290"/>
      <c r="BH143" s="290"/>
      <c r="BI143" s="290"/>
      <c r="BJ143" s="290"/>
      <c r="BK143" s="290"/>
      <c r="BL143" s="290"/>
      <c r="CN143" s="282"/>
      <c r="CO143" s="282"/>
      <c r="CP143" s="282"/>
      <c r="CZ143" s="409"/>
      <c r="DA143" s="409"/>
      <c r="DB143" s="409"/>
      <c r="DC143" s="409"/>
      <c r="DD143" s="409"/>
      <c r="DE143" s="409"/>
      <c r="DF143" s="409"/>
      <c r="DG143" s="409"/>
      <c r="DH143" s="409"/>
      <c r="DI143" s="409"/>
      <c r="DJ143" s="409"/>
      <c r="DK143" s="409"/>
      <c r="DL143" s="409"/>
      <c r="DM143" s="409"/>
      <c r="DN143" s="409"/>
      <c r="DO143" s="409"/>
      <c r="DP143" s="409"/>
      <c r="DQ143" s="409"/>
      <c r="DR143" s="409"/>
      <c r="DS143" s="409"/>
      <c r="DT143" s="409"/>
      <c r="DU143" s="409"/>
      <c r="DV143" s="409"/>
      <c r="DW143" s="409"/>
      <c r="DX143" s="409"/>
      <c r="DY143" s="409"/>
      <c r="DZ143" s="409"/>
      <c r="EA143" s="409"/>
      <c r="EB143" s="409"/>
      <c r="EC143" s="409"/>
      <c r="ED143" s="409"/>
      <c r="EE143" s="409"/>
      <c r="EF143" s="409"/>
      <c r="EG143" s="409"/>
      <c r="EH143" s="409"/>
      <c r="EI143" s="409"/>
      <c r="EJ143" s="409"/>
      <c r="EK143" s="409"/>
      <c r="EL143" s="409"/>
      <c r="EM143" s="409"/>
      <c r="EN143" s="409"/>
      <c r="EO143" s="409"/>
      <c r="EP143" s="409"/>
      <c r="EQ143" s="409"/>
      <c r="ER143" s="409"/>
      <c r="ES143" s="409"/>
      <c r="ET143" s="409"/>
      <c r="EU143" s="409"/>
      <c r="EV143" s="409"/>
      <c r="EW143" s="409"/>
      <c r="EX143" s="409"/>
      <c r="EY143" s="409"/>
      <c r="EZ143" s="409"/>
      <c r="FA143" s="409"/>
      <c r="FB143" s="409"/>
      <c r="FC143" s="409"/>
      <c r="FD143" s="409"/>
      <c r="FE143" s="409"/>
      <c r="FF143" s="409"/>
      <c r="FG143" s="409"/>
      <c r="FH143" s="409"/>
      <c r="FI143" s="409"/>
      <c r="FJ143" s="409"/>
      <c r="FK143" s="409"/>
      <c r="FL143" s="409"/>
      <c r="FM143" s="409"/>
      <c r="FN143" s="409"/>
      <c r="FO143" s="409"/>
      <c r="FP143" s="409"/>
      <c r="FQ143" s="409"/>
      <c r="FR143" s="409"/>
      <c r="FS143" s="409"/>
      <c r="FT143" s="409"/>
      <c r="FU143" s="409"/>
      <c r="FV143" s="409"/>
      <c r="FW143" s="409"/>
      <c r="FX143" s="409"/>
      <c r="FY143" s="409"/>
      <c r="FZ143" s="409"/>
      <c r="GA143" s="409"/>
      <c r="GB143" s="409"/>
      <c r="GC143" s="409"/>
      <c r="GD143" s="409"/>
      <c r="GE143" s="409"/>
      <c r="GF143" s="409"/>
      <c r="GG143" s="409"/>
      <c r="GH143" s="409"/>
      <c r="GI143" s="409"/>
      <c r="GJ143" s="409"/>
      <c r="GK143" s="409"/>
      <c r="GL143" s="409"/>
      <c r="GM143" s="409"/>
      <c r="GN143" s="409"/>
      <c r="GO143" s="409"/>
      <c r="GP143" s="409"/>
      <c r="GQ143" s="409"/>
      <c r="GR143" s="409"/>
      <c r="GS143" s="409"/>
      <c r="GT143" s="409"/>
      <c r="GU143" s="409"/>
      <c r="GV143" s="409"/>
      <c r="GW143" s="409"/>
      <c r="GX143" s="409"/>
      <c r="GY143" s="409"/>
      <c r="GZ143" s="409"/>
      <c r="HA143" s="409"/>
      <c r="HB143" s="409"/>
      <c r="HC143" s="409"/>
      <c r="HD143" s="409"/>
      <c r="HE143" s="409"/>
      <c r="HF143" s="409"/>
      <c r="HG143" s="409"/>
      <c r="HH143" s="409"/>
      <c r="HI143" s="409"/>
      <c r="HJ143" s="409"/>
      <c r="HK143" s="409"/>
      <c r="HL143" s="409"/>
      <c r="HM143" s="409"/>
      <c r="HN143" s="409"/>
      <c r="HO143" s="409"/>
      <c r="HP143" s="409"/>
      <c r="HQ143" s="409"/>
      <c r="HR143" s="409"/>
      <c r="HS143" s="409"/>
      <c r="HT143" s="409"/>
      <c r="HU143" s="409"/>
      <c r="HV143" s="409"/>
      <c r="HW143" s="409"/>
      <c r="HX143" s="409"/>
      <c r="HY143" s="409"/>
      <c r="HZ143" s="409"/>
      <c r="IA143" s="409"/>
      <c r="IB143" s="409"/>
      <c r="IC143" s="409"/>
      <c r="ID143" s="409"/>
      <c r="IE143" s="409"/>
      <c r="IF143" s="409"/>
      <c r="IG143" s="409"/>
      <c r="IH143" s="409"/>
      <c r="II143" s="409"/>
      <c r="IJ143" s="409"/>
      <c r="IK143" s="409"/>
      <c r="IL143" s="409"/>
      <c r="IM143" s="409"/>
      <c r="IN143" s="409"/>
      <c r="IO143" s="409"/>
      <c r="IP143" s="409"/>
      <c r="IQ143" s="409"/>
      <c r="IR143" s="409"/>
      <c r="IS143" s="409"/>
      <c r="IT143" s="409"/>
      <c r="IU143" s="409"/>
      <c r="IV143" s="409"/>
      <c r="IW143" s="409"/>
      <c r="IX143" s="409"/>
      <c r="IY143" s="409"/>
      <c r="IZ143" s="409"/>
      <c r="JA143" s="409"/>
      <c r="JB143" s="409"/>
      <c r="JC143" s="409"/>
      <c r="JD143" s="409"/>
      <c r="JE143" s="409"/>
      <c r="JF143" s="409"/>
      <c r="JG143" s="409"/>
      <c r="JH143" s="409"/>
      <c r="JI143" s="409"/>
      <c r="JJ143" s="409"/>
      <c r="JK143" s="409"/>
      <c r="JL143" s="409"/>
      <c r="JM143" s="409"/>
      <c r="JN143" s="409"/>
      <c r="JO143" s="409"/>
      <c r="JP143" s="409"/>
      <c r="JQ143" s="409"/>
      <c r="JR143" s="409"/>
      <c r="JS143" s="409"/>
      <c r="JT143" s="409"/>
      <c r="JU143" s="409"/>
      <c r="JV143" s="409"/>
      <c r="JW143" s="409"/>
      <c r="JX143" s="409"/>
      <c r="JY143" s="409"/>
      <c r="JZ143" s="409"/>
      <c r="KA143" s="409"/>
      <c r="KB143" s="409"/>
      <c r="KC143" s="409"/>
      <c r="KD143" s="409"/>
      <c r="KE143" s="409"/>
      <c r="KF143" s="409"/>
      <c r="KG143" s="409"/>
      <c r="KH143" s="409"/>
      <c r="KI143" s="409"/>
      <c r="KJ143" s="409"/>
      <c r="KK143" s="409"/>
      <c r="KL143" s="409"/>
      <c r="KM143" s="409"/>
      <c r="KN143" s="409"/>
      <c r="KO143" s="409"/>
      <c r="KP143" s="409"/>
      <c r="KQ143" s="409"/>
      <c r="KR143" s="409"/>
      <c r="KS143" s="409"/>
      <c r="KT143" s="409"/>
      <c r="KU143" s="409"/>
      <c r="KV143" s="409"/>
      <c r="KW143" s="409"/>
      <c r="KX143" s="409"/>
      <c r="KY143" s="409"/>
      <c r="KZ143" s="409"/>
      <c r="LA143" s="409"/>
      <c r="LB143" s="409"/>
      <c r="LC143" s="409"/>
      <c r="LD143" s="409"/>
      <c r="LE143" s="302"/>
      <c r="LF143" s="302"/>
      <c r="LG143" s="302"/>
      <c r="LH143" s="302"/>
      <c r="LI143" s="302"/>
      <c r="LJ143" s="302"/>
      <c r="LK143" s="302"/>
      <c r="LL143" s="302"/>
      <c r="LM143" s="302"/>
      <c r="LN143" s="302"/>
      <c r="LO143" s="302"/>
      <c r="LP143" s="302"/>
      <c r="LQ143" s="302"/>
      <c r="LR143" s="302"/>
      <c r="LS143" s="302"/>
      <c r="LT143" s="302"/>
      <c r="LU143" s="302"/>
      <c r="LV143" s="302"/>
      <c r="LW143" s="302"/>
      <c r="LX143" s="302"/>
      <c r="LY143" s="302"/>
      <c r="LZ143" s="302"/>
      <c r="MA143" s="302"/>
      <c r="MB143" s="302"/>
      <c r="MC143" s="302"/>
      <c r="MD143" s="302"/>
      <c r="ME143" s="302"/>
      <c r="MF143" s="302"/>
      <c r="MG143" s="302"/>
      <c r="MH143" s="302"/>
      <c r="MI143" s="302"/>
      <c r="MJ143" s="302"/>
      <c r="MK143" s="302"/>
      <c r="ML143" s="302"/>
      <c r="MM143" s="302"/>
      <c r="MN143" s="302"/>
      <c r="MO143" s="302"/>
      <c r="MP143" s="302"/>
      <c r="MQ143" s="302"/>
      <c r="MR143" s="302"/>
      <c r="MS143" s="302"/>
      <c r="MT143" s="302"/>
      <c r="MU143" s="302"/>
      <c r="MV143" s="302"/>
      <c r="MW143" s="302"/>
      <c r="MX143" s="302"/>
      <c r="MY143" s="302"/>
      <c r="MZ143" s="302"/>
      <c r="NA143" s="302"/>
      <c r="NB143" s="302"/>
      <c r="NC143" s="302"/>
      <c r="ND143" s="302"/>
      <c r="NE143" s="302"/>
      <c r="NF143" s="302"/>
      <c r="NG143" s="302"/>
      <c r="NH143" s="302"/>
      <c r="NI143" s="302"/>
      <c r="NJ143" s="302"/>
      <c r="NK143" s="302"/>
      <c r="NL143" s="302"/>
      <c r="NM143" s="302"/>
      <c r="NN143" s="302"/>
      <c r="NO143" s="302"/>
      <c r="NP143" s="302"/>
      <c r="NQ143" s="302"/>
      <c r="NR143" s="302"/>
      <c r="NS143" s="302"/>
      <c r="NT143" s="302"/>
      <c r="NU143" s="302"/>
      <c r="NV143" s="302"/>
      <c r="NW143" s="302"/>
      <c r="NX143" s="302"/>
      <c r="NY143" s="568"/>
      <c r="NZ143" s="568"/>
      <c r="OA143" s="575"/>
      <c r="OB143" s="575"/>
      <c r="OC143" s="578"/>
      <c r="OD143" s="578"/>
    </row>
    <row r="144" spans="1:399" s="292" customFormat="1" ht="22.5" customHeight="1">
      <c r="A144" s="290"/>
      <c r="B144" s="290"/>
      <c r="D144" s="82"/>
      <c r="E144" s="82"/>
      <c r="F144" s="82"/>
      <c r="G144" s="44"/>
      <c r="H144" s="67"/>
      <c r="K144" s="16"/>
      <c r="L144" s="16"/>
      <c r="M144" s="290"/>
      <c r="N144" s="290"/>
      <c r="O144" s="16"/>
      <c r="P144" s="290"/>
      <c r="Q144" s="290"/>
      <c r="R144" s="290"/>
      <c r="S144" s="290"/>
      <c r="T144" s="290"/>
      <c r="U144" s="290"/>
      <c r="V144" s="290"/>
      <c r="Z144" s="291"/>
      <c r="AA144" s="290"/>
      <c r="AB144" s="290"/>
      <c r="AC144" s="290"/>
      <c r="AD144" s="290"/>
      <c r="AE144" s="290"/>
      <c r="AF144" s="290"/>
      <c r="AG144" s="290"/>
      <c r="AH144" s="290"/>
      <c r="AI144" s="290"/>
      <c r="AJ144" s="290"/>
      <c r="AK144" s="290"/>
      <c r="AL144" s="16"/>
      <c r="AN144" s="291"/>
      <c r="AO144" s="291"/>
      <c r="AQ144" s="22"/>
      <c r="AR144" s="22"/>
      <c r="AS144" s="22"/>
      <c r="AT144" s="22"/>
      <c r="AU144" s="22"/>
      <c r="AV144" s="97"/>
      <c r="AW144" s="97"/>
      <c r="AX144" s="97"/>
      <c r="AY144" s="97"/>
      <c r="AZ144" s="97"/>
      <c r="BA144" s="97"/>
      <c r="BC144" s="290"/>
      <c r="BD144" s="290"/>
      <c r="BE144" s="290"/>
      <c r="BF144" s="290"/>
      <c r="BG144" s="290"/>
      <c r="BH144" s="290"/>
      <c r="BI144" s="290"/>
      <c r="BJ144" s="290"/>
      <c r="BK144" s="290"/>
      <c r="BL144" s="290"/>
      <c r="CN144" s="282"/>
      <c r="CO144" s="282"/>
      <c r="CP144" s="282"/>
      <c r="CZ144" s="409"/>
      <c r="DA144" s="409"/>
      <c r="DB144" s="409"/>
      <c r="DC144" s="409"/>
      <c r="DD144" s="409"/>
      <c r="DE144" s="409"/>
      <c r="DF144" s="409"/>
      <c r="DG144" s="409"/>
      <c r="DH144" s="409"/>
      <c r="DI144" s="409"/>
      <c r="DJ144" s="409"/>
      <c r="DK144" s="409"/>
      <c r="DL144" s="409"/>
      <c r="DM144" s="409"/>
      <c r="DN144" s="409"/>
      <c r="DO144" s="409"/>
      <c r="DP144" s="409"/>
      <c r="DQ144" s="409"/>
      <c r="DR144" s="409"/>
      <c r="DS144" s="409"/>
      <c r="DT144" s="409"/>
      <c r="DU144" s="409"/>
      <c r="DV144" s="409"/>
      <c r="DW144" s="409"/>
      <c r="DX144" s="409"/>
      <c r="DY144" s="409"/>
      <c r="DZ144" s="409"/>
      <c r="EA144" s="409"/>
      <c r="EB144" s="409"/>
      <c r="EC144" s="409"/>
      <c r="ED144" s="409"/>
      <c r="EE144" s="409"/>
      <c r="EF144" s="409"/>
      <c r="EG144" s="409"/>
      <c r="EH144" s="409"/>
      <c r="EI144" s="409"/>
      <c r="EJ144" s="409"/>
      <c r="EK144" s="409"/>
      <c r="EL144" s="409"/>
      <c r="EM144" s="409"/>
      <c r="EN144" s="409"/>
      <c r="EO144" s="409"/>
      <c r="EP144" s="409"/>
      <c r="EQ144" s="409"/>
      <c r="ER144" s="409"/>
      <c r="ES144" s="409"/>
      <c r="ET144" s="409"/>
      <c r="EU144" s="409"/>
      <c r="EV144" s="409"/>
      <c r="EW144" s="409"/>
      <c r="EX144" s="409"/>
      <c r="EY144" s="409"/>
      <c r="EZ144" s="409"/>
      <c r="FA144" s="409"/>
      <c r="FB144" s="409"/>
      <c r="FC144" s="409"/>
      <c r="FD144" s="409"/>
      <c r="FE144" s="409"/>
      <c r="FF144" s="409"/>
      <c r="FG144" s="409"/>
      <c r="FH144" s="409"/>
      <c r="FI144" s="409"/>
      <c r="FJ144" s="409"/>
      <c r="FK144" s="409"/>
      <c r="FL144" s="409"/>
      <c r="FM144" s="409"/>
      <c r="FN144" s="409"/>
      <c r="FO144" s="409"/>
      <c r="FP144" s="409"/>
      <c r="FQ144" s="409"/>
      <c r="FR144" s="409"/>
      <c r="FS144" s="409"/>
      <c r="FT144" s="409"/>
      <c r="FU144" s="409"/>
      <c r="FV144" s="409"/>
      <c r="FW144" s="409"/>
      <c r="FX144" s="409"/>
      <c r="FY144" s="409"/>
      <c r="FZ144" s="409"/>
      <c r="GA144" s="409"/>
      <c r="GB144" s="409"/>
      <c r="GC144" s="409"/>
      <c r="GD144" s="409"/>
      <c r="GE144" s="409"/>
      <c r="GF144" s="409"/>
      <c r="GG144" s="409"/>
      <c r="GH144" s="409"/>
      <c r="GI144" s="409"/>
      <c r="GJ144" s="409"/>
      <c r="GK144" s="409"/>
      <c r="GL144" s="409"/>
      <c r="GM144" s="409"/>
      <c r="GN144" s="409"/>
      <c r="GO144" s="409"/>
      <c r="GP144" s="409"/>
      <c r="GQ144" s="409"/>
      <c r="GR144" s="409"/>
      <c r="GS144" s="409"/>
      <c r="GT144" s="409"/>
      <c r="GU144" s="409"/>
      <c r="GV144" s="409"/>
      <c r="GW144" s="409"/>
      <c r="GX144" s="409"/>
      <c r="GY144" s="409"/>
      <c r="GZ144" s="409"/>
      <c r="HA144" s="409"/>
      <c r="HB144" s="409"/>
      <c r="HC144" s="409"/>
      <c r="HD144" s="409"/>
      <c r="HE144" s="409"/>
      <c r="HF144" s="409"/>
      <c r="HG144" s="409"/>
      <c r="HH144" s="409"/>
      <c r="HI144" s="409"/>
      <c r="HJ144" s="409"/>
      <c r="HK144" s="409"/>
      <c r="HL144" s="409"/>
      <c r="HM144" s="409"/>
      <c r="HN144" s="409"/>
      <c r="HO144" s="409"/>
      <c r="HP144" s="409"/>
      <c r="HQ144" s="409"/>
      <c r="HR144" s="409"/>
      <c r="HS144" s="409"/>
      <c r="HT144" s="409"/>
      <c r="HU144" s="409"/>
      <c r="HV144" s="409"/>
      <c r="HW144" s="409"/>
      <c r="HX144" s="409"/>
      <c r="HY144" s="409"/>
      <c r="HZ144" s="409"/>
      <c r="IA144" s="409"/>
      <c r="IB144" s="409"/>
      <c r="IC144" s="409"/>
      <c r="ID144" s="409"/>
      <c r="IE144" s="409"/>
      <c r="IF144" s="409"/>
      <c r="IG144" s="409"/>
      <c r="IH144" s="409"/>
      <c r="II144" s="409"/>
      <c r="IJ144" s="409"/>
      <c r="IK144" s="409"/>
      <c r="IL144" s="409"/>
      <c r="IM144" s="409"/>
      <c r="IN144" s="409"/>
      <c r="IO144" s="409"/>
      <c r="IP144" s="409"/>
      <c r="IQ144" s="409"/>
      <c r="IR144" s="409"/>
      <c r="IS144" s="409"/>
      <c r="IT144" s="409"/>
      <c r="IU144" s="409"/>
      <c r="IV144" s="409"/>
      <c r="IW144" s="409"/>
      <c r="IX144" s="409"/>
      <c r="IY144" s="409"/>
      <c r="IZ144" s="409"/>
      <c r="JA144" s="409"/>
      <c r="JB144" s="409"/>
      <c r="JC144" s="409"/>
      <c r="JD144" s="409"/>
      <c r="JE144" s="409"/>
      <c r="JF144" s="409"/>
      <c r="JG144" s="409"/>
      <c r="JH144" s="409"/>
      <c r="JI144" s="409"/>
      <c r="JJ144" s="409"/>
      <c r="JK144" s="409"/>
      <c r="JL144" s="409"/>
      <c r="JM144" s="409"/>
      <c r="JN144" s="409"/>
      <c r="JO144" s="409"/>
      <c r="JP144" s="409"/>
      <c r="JQ144" s="409"/>
      <c r="JR144" s="409"/>
      <c r="JS144" s="409"/>
      <c r="JT144" s="409"/>
      <c r="JU144" s="409"/>
      <c r="JV144" s="409"/>
      <c r="JW144" s="409"/>
      <c r="JX144" s="409"/>
      <c r="JY144" s="409"/>
      <c r="JZ144" s="409"/>
      <c r="KA144" s="409"/>
      <c r="KB144" s="409"/>
      <c r="KC144" s="409"/>
      <c r="KD144" s="409"/>
      <c r="KE144" s="409"/>
      <c r="KF144" s="409"/>
      <c r="KG144" s="409"/>
      <c r="KH144" s="409"/>
      <c r="KI144" s="409"/>
      <c r="KJ144" s="409"/>
      <c r="KK144" s="409"/>
      <c r="KL144" s="409"/>
      <c r="KM144" s="409"/>
      <c r="KN144" s="409"/>
      <c r="KO144" s="409"/>
      <c r="KP144" s="409"/>
      <c r="KQ144" s="409"/>
      <c r="KR144" s="409"/>
      <c r="KS144" s="409"/>
      <c r="KT144" s="409"/>
      <c r="KU144" s="409"/>
      <c r="KV144" s="409"/>
      <c r="KW144" s="409"/>
      <c r="KX144" s="409"/>
      <c r="KY144" s="409"/>
      <c r="KZ144" s="409"/>
      <c r="LA144" s="409"/>
      <c r="LB144" s="409"/>
      <c r="LC144" s="409"/>
      <c r="LD144" s="409"/>
      <c r="LE144" s="302"/>
      <c r="LF144" s="302"/>
      <c r="LG144" s="302"/>
      <c r="LH144" s="302"/>
      <c r="LI144" s="302"/>
      <c r="LJ144" s="302"/>
      <c r="LK144" s="302"/>
      <c r="LL144" s="302"/>
      <c r="LM144" s="302"/>
      <c r="LN144" s="302"/>
      <c r="LO144" s="302"/>
      <c r="LP144" s="302"/>
      <c r="LQ144" s="302"/>
      <c r="LR144" s="302"/>
      <c r="LS144" s="302"/>
      <c r="LT144" s="302"/>
      <c r="LU144" s="302"/>
      <c r="LV144" s="302"/>
      <c r="LW144" s="302"/>
      <c r="LX144" s="302"/>
      <c r="LY144" s="302"/>
      <c r="LZ144" s="302"/>
      <c r="MA144" s="302"/>
      <c r="MB144" s="302"/>
      <c r="MC144" s="302"/>
      <c r="MD144" s="302"/>
      <c r="ME144" s="302"/>
      <c r="MF144" s="302"/>
      <c r="MG144" s="302"/>
      <c r="MH144" s="302"/>
      <c r="MI144" s="302"/>
      <c r="MJ144" s="302"/>
      <c r="MK144" s="302"/>
      <c r="ML144" s="302"/>
      <c r="MM144" s="302"/>
      <c r="MN144" s="302"/>
      <c r="MO144" s="302"/>
      <c r="MP144" s="302"/>
      <c r="MQ144" s="302"/>
      <c r="MR144" s="302"/>
      <c r="MS144" s="302"/>
      <c r="MT144" s="302"/>
      <c r="MU144" s="302"/>
      <c r="MV144" s="302"/>
      <c r="MW144" s="302"/>
      <c r="MX144" s="302"/>
      <c r="MY144" s="302"/>
      <c r="MZ144" s="302"/>
      <c r="NA144" s="302"/>
      <c r="NB144" s="302"/>
      <c r="NC144" s="302"/>
      <c r="ND144" s="302"/>
      <c r="NE144" s="302"/>
      <c r="NF144" s="302"/>
      <c r="NG144" s="302"/>
      <c r="NH144" s="302"/>
      <c r="NI144" s="302"/>
      <c r="NJ144" s="302"/>
      <c r="NK144" s="302"/>
      <c r="NL144" s="302"/>
      <c r="NM144" s="302"/>
      <c r="NN144" s="302"/>
      <c r="NO144" s="302"/>
      <c r="NP144" s="302"/>
      <c r="NQ144" s="302"/>
      <c r="NR144" s="302"/>
      <c r="NS144" s="302"/>
      <c r="NT144" s="302"/>
      <c r="NU144" s="302"/>
      <c r="NV144" s="302"/>
      <c r="NW144" s="302"/>
      <c r="NX144" s="302"/>
      <c r="NY144" s="568"/>
      <c r="NZ144" s="568"/>
      <c r="OA144" s="575"/>
      <c r="OB144" s="575"/>
      <c r="OC144" s="578"/>
      <c r="OD144" s="578"/>
    </row>
    <row r="145" spans="1:394" s="292" customFormat="1" ht="22.5" customHeight="1">
      <c r="A145" s="290"/>
      <c r="B145" s="290"/>
      <c r="D145" s="82"/>
      <c r="E145" s="82"/>
      <c r="F145" s="82"/>
      <c r="G145" s="44"/>
      <c r="H145" s="67"/>
      <c r="K145" s="16"/>
      <c r="L145" s="16"/>
      <c r="M145" s="290"/>
      <c r="N145" s="290"/>
      <c r="O145" s="16"/>
      <c r="P145" s="290"/>
      <c r="Q145" s="290"/>
      <c r="R145" s="290"/>
      <c r="S145" s="290"/>
      <c r="T145" s="290"/>
      <c r="U145" s="290"/>
      <c r="V145" s="290"/>
      <c r="Z145" s="291"/>
      <c r="AA145" s="290"/>
      <c r="AB145" s="290"/>
      <c r="AC145" s="290"/>
      <c r="AD145" s="290"/>
      <c r="AE145" s="290"/>
      <c r="AF145" s="290"/>
      <c r="AG145" s="290"/>
      <c r="AH145" s="290"/>
      <c r="AI145" s="290"/>
      <c r="AJ145" s="290"/>
      <c r="AK145" s="290"/>
      <c r="AL145" s="16"/>
      <c r="AN145" s="291"/>
      <c r="AO145" s="291"/>
      <c r="AQ145" s="22"/>
      <c r="AR145" s="22"/>
      <c r="AS145" s="22"/>
      <c r="AT145" s="22"/>
      <c r="AU145" s="22"/>
      <c r="AV145" s="97"/>
      <c r="AW145" s="97"/>
      <c r="AX145" s="97"/>
      <c r="AY145" s="97"/>
      <c r="AZ145" s="97"/>
      <c r="BA145" s="97"/>
      <c r="BC145" s="290"/>
      <c r="BD145" s="290"/>
      <c r="BE145" s="290"/>
      <c r="BF145" s="290"/>
      <c r="BG145" s="290"/>
      <c r="BH145" s="290"/>
      <c r="BI145" s="290"/>
      <c r="BJ145" s="290"/>
      <c r="BK145" s="290"/>
      <c r="BL145" s="290"/>
      <c r="CN145" s="282"/>
      <c r="CO145" s="282"/>
      <c r="CP145" s="282"/>
      <c r="CZ145" s="409"/>
      <c r="DA145" s="409"/>
      <c r="DB145" s="409"/>
      <c r="DC145" s="409"/>
      <c r="DD145" s="409"/>
      <c r="DE145" s="409"/>
      <c r="DF145" s="409"/>
      <c r="DG145" s="409"/>
      <c r="DH145" s="409"/>
      <c r="DI145" s="409"/>
      <c r="DJ145" s="409"/>
      <c r="DK145" s="409"/>
      <c r="DL145" s="409"/>
      <c r="DM145" s="409"/>
      <c r="DN145" s="409"/>
      <c r="DO145" s="409"/>
      <c r="DP145" s="409"/>
      <c r="DQ145" s="409"/>
      <c r="DR145" s="409"/>
      <c r="DS145" s="409"/>
      <c r="DT145" s="409"/>
      <c r="DU145" s="409"/>
      <c r="DV145" s="409"/>
      <c r="DW145" s="409"/>
      <c r="DX145" s="409"/>
      <c r="DY145" s="409"/>
      <c r="DZ145" s="409"/>
      <c r="EA145" s="409"/>
      <c r="EB145" s="409"/>
      <c r="EC145" s="409"/>
      <c r="ED145" s="409"/>
      <c r="EE145" s="409"/>
      <c r="EF145" s="409"/>
      <c r="EG145" s="409"/>
      <c r="EH145" s="409"/>
      <c r="EI145" s="409"/>
      <c r="EJ145" s="409"/>
      <c r="EK145" s="409"/>
      <c r="EL145" s="409"/>
      <c r="EM145" s="409"/>
      <c r="EN145" s="409"/>
      <c r="EO145" s="409"/>
      <c r="EP145" s="409"/>
      <c r="EQ145" s="409"/>
      <c r="ER145" s="409"/>
      <c r="ES145" s="409"/>
      <c r="ET145" s="409"/>
      <c r="EU145" s="409"/>
      <c r="EV145" s="409"/>
      <c r="EW145" s="409"/>
      <c r="EX145" s="409"/>
      <c r="EY145" s="409"/>
      <c r="EZ145" s="409"/>
      <c r="FA145" s="409"/>
      <c r="FB145" s="409"/>
      <c r="FC145" s="409"/>
      <c r="FD145" s="409"/>
      <c r="FE145" s="409"/>
      <c r="FF145" s="409"/>
      <c r="FG145" s="409"/>
      <c r="FH145" s="409"/>
      <c r="FI145" s="409"/>
      <c r="FJ145" s="409"/>
      <c r="FK145" s="409"/>
      <c r="FL145" s="409"/>
      <c r="FM145" s="409"/>
      <c r="FN145" s="409"/>
      <c r="FO145" s="409"/>
      <c r="FP145" s="409"/>
      <c r="FQ145" s="409"/>
      <c r="FR145" s="409"/>
      <c r="FS145" s="409"/>
      <c r="FT145" s="409"/>
      <c r="FU145" s="409"/>
      <c r="FV145" s="409"/>
      <c r="FW145" s="409"/>
      <c r="FX145" s="409"/>
      <c r="FY145" s="409"/>
      <c r="FZ145" s="409"/>
      <c r="GA145" s="409"/>
      <c r="GB145" s="409"/>
      <c r="GC145" s="409"/>
      <c r="GD145" s="409"/>
      <c r="GE145" s="409"/>
      <c r="GF145" s="409"/>
      <c r="GG145" s="409"/>
      <c r="GH145" s="409"/>
      <c r="GI145" s="409"/>
      <c r="GJ145" s="409"/>
      <c r="GK145" s="409"/>
      <c r="GL145" s="409"/>
      <c r="GM145" s="409"/>
      <c r="GN145" s="409"/>
      <c r="GO145" s="409"/>
      <c r="GP145" s="409"/>
      <c r="GQ145" s="409"/>
      <c r="GR145" s="409"/>
      <c r="GS145" s="409"/>
      <c r="GT145" s="409"/>
      <c r="GU145" s="409"/>
      <c r="GV145" s="409"/>
      <c r="GW145" s="409"/>
      <c r="GX145" s="409"/>
      <c r="GY145" s="409"/>
      <c r="GZ145" s="409"/>
      <c r="HA145" s="409"/>
      <c r="HB145" s="409"/>
      <c r="HC145" s="409"/>
      <c r="HD145" s="409"/>
      <c r="HE145" s="409"/>
      <c r="HF145" s="409"/>
      <c r="HG145" s="409"/>
      <c r="HH145" s="409"/>
      <c r="HI145" s="409"/>
      <c r="HJ145" s="409"/>
      <c r="HK145" s="409"/>
      <c r="HL145" s="409"/>
      <c r="HM145" s="409"/>
      <c r="HN145" s="409"/>
      <c r="HO145" s="409"/>
      <c r="HP145" s="409"/>
      <c r="HQ145" s="409"/>
      <c r="HR145" s="409"/>
      <c r="HS145" s="409"/>
      <c r="HT145" s="409"/>
      <c r="HU145" s="409"/>
      <c r="HV145" s="409"/>
      <c r="HW145" s="409"/>
      <c r="HX145" s="409"/>
      <c r="HY145" s="409"/>
      <c r="HZ145" s="409"/>
      <c r="IA145" s="409"/>
      <c r="IB145" s="409"/>
      <c r="IC145" s="409"/>
      <c r="ID145" s="409"/>
      <c r="IE145" s="409"/>
      <c r="IF145" s="409"/>
      <c r="IG145" s="409"/>
      <c r="IH145" s="409"/>
      <c r="II145" s="409"/>
      <c r="IJ145" s="409"/>
      <c r="IK145" s="409"/>
      <c r="IL145" s="409"/>
      <c r="IM145" s="409"/>
      <c r="IN145" s="409"/>
      <c r="IO145" s="409"/>
      <c r="IP145" s="409"/>
      <c r="IQ145" s="409"/>
      <c r="IR145" s="409"/>
      <c r="IS145" s="409"/>
      <c r="IT145" s="409"/>
      <c r="IU145" s="409"/>
      <c r="IV145" s="409"/>
      <c r="IW145" s="409"/>
      <c r="IX145" s="409"/>
      <c r="IY145" s="409"/>
      <c r="IZ145" s="409"/>
      <c r="JA145" s="409"/>
      <c r="JB145" s="409"/>
      <c r="JC145" s="409"/>
      <c r="JD145" s="409"/>
      <c r="JE145" s="409"/>
      <c r="JF145" s="409"/>
      <c r="JG145" s="409"/>
      <c r="JH145" s="409"/>
      <c r="JI145" s="409"/>
      <c r="JJ145" s="409"/>
      <c r="JK145" s="409"/>
      <c r="JL145" s="409"/>
      <c r="JM145" s="409"/>
      <c r="JN145" s="409"/>
      <c r="JO145" s="409"/>
      <c r="JP145" s="409"/>
      <c r="JQ145" s="409"/>
      <c r="JR145" s="409"/>
      <c r="JS145" s="409"/>
      <c r="JT145" s="409"/>
      <c r="JU145" s="409"/>
      <c r="JV145" s="409"/>
      <c r="JW145" s="409"/>
      <c r="JX145" s="409"/>
      <c r="JY145" s="409"/>
      <c r="JZ145" s="409"/>
      <c r="KA145" s="409"/>
      <c r="KB145" s="409"/>
      <c r="KC145" s="409"/>
      <c r="KD145" s="409"/>
      <c r="KE145" s="409"/>
      <c r="KF145" s="409"/>
      <c r="KG145" s="409"/>
      <c r="KH145" s="409"/>
      <c r="KI145" s="409"/>
      <c r="KJ145" s="409"/>
      <c r="KK145" s="409"/>
      <c r="KL145" s="409"/>
      <c r="KM145" s="409"/>
      <c r="KN145" s="409"/>
      <c r="KO145" s="409"/>
      <c r="KP145" s="409"/>
      <c r="KQ145" s="409"/>
      <c r="KR145" s="409"/>
      <c r="KS145" s="409"/>
      <c r="KT145" s="409"/>
      <c r="KU145" s="409"/>
      <c r="KV145" s="409"/>
      <c r="KW145" s="409"/>
      <c r="KX145" s="409"/>
      <c r="KY145" s="409"/>
      <c r="KZ145" s="409"/>
      <c r="LA145" s="409"/>
      <c r="LB145" s="409"/>
      <c r="LC145" s="409"/>
      <c r="LD145" s="409"/>
      <c r="LE145" s="302"/>
      <c r="LF145" s="302"/>
      <c r="LG145" s="302"/>
      <c r="LH145" s="302"/>
      <c r="LI145" s="302"/>
      <c r="LJ145" s="302"/>
      <c r="LK145" s="302"/>
      <c r="LL145" s="302"/>
      <c r="LM145" s="302"/>
      <c r="LN145" s="302"/>
      <c r="LO145" s="302"/>
      <c r="LP145" s="302"/>
      <c r="LQ145" s="302"/>
      <c r="LR145" s="302"/>
      <c r="LS145" s="302"/>
      <c r="LT145" s="302"/>
      <c r="LU145" s="302"/>
      <c r="LV145" s="302"/>
      <c r="LW145" s="302"/>
      <c r="LX145" s="302"/>
      <c r="LY145" s="302"/>
      <c r="LZ145" s="302"/>
      <c r="MA145" s="302"/>
      <c r="MB145" s="302"/>
      <c r="MC145" s="302"/>
      <c r="MD145" s="302"/>
      <c r="ME145" s="302"/>
      <c r="MF145" s="302"/>
      <c r="MG145" s="302"/>
      <c r="MH145" s="302"/>
      <c r="MI145" s="302"/>
      <c r="MJ145" s="302"/>
      <c r="MK145" s="302"/>
      <c r="ML145" s="302"/>
      <c r="MM145" s="302"/>
      <c r="MN145" s="302"/>
      <c r="MO145" s="302"/>
      <c r="MP145" s="302"/>
      <c r="MQ145" s="302"/>
      <c r="MR145" s="302"/>
      <c r="MS145" s="302"/>
      <c r="MT145" s="302"/>
      <c r="MU145" s="302"/>
      <c r="MV145" s="302"/>
      <c r="MW145" s="302"/>
      <c r="MX145" s="302"/>
      <c r="MY145" s="302"/>
      <c r="MZ145" s="302"/>
      <c r="NA145" s="302"/>
      <c r="NB145" s="302"/>
      <c r="NC145" s="302"/>
      <c r="ND145" s="302"/>
      <c r="NE145" s="302"/>
      <c r="NF145" s="302"/>
      <c r="NG145" s="302"/>
      <c r="NH145" s="302"/>
      <c r="NI145" s="302"/>
      <c r="NJ145" s="302"/>
      <c r="NK145" s="302"/>
      <c r="NL145" s="302"/>
      <c r="NM145" s="302"/>
      <c r="NN145" s="302"/>
      <c r="NO145" s="302"/>
      <c r="NP145" s="302"/>
      <c r="NQ145" s="302"/>
      <c r="NR145" s="302"/>
      <c r="NS145" s="302"/>
      <c r="NT145" s="302"/>
      <c r="NU145" s="302"/>
      <c r="NV145" s="302"/>
      <c r="NW145" s="302"/>
      <c r="NX145" s="302"/>
      <c r="NY145" s="568"/>
      <c r="NZ145" s="568"/>
      <c r="OA145" s="575"/>
      <c r="OB145" s="575"/>
      <c r="OC145" s="578"/>
      <c r="OD145" s="578"/>
    </row>
    <row r="146" spans="1:394" s="292" customFormat="1" ht="22.5" customHeight="1">
      <c r="A146" s="290"/>
      <c r="B146" s="290"/>
      <c r="D146" s="82"/>
      <c r="E146" s="82"/>
      <c r="F146" s="82"/>
      <c r="G146" s="44"/>
      <c r="H146" s="67"/>
      <c r="K146" s="16"/>
      <c r="L146" s="16"/>
      <c r="M146" s="290"/>
      <c r="N146" s="290"/>
      <c r="O146" s="16"/>
      <c r="P146" s="290"/>
      <c r="Q146" s="290"/>
      <c r="R146" s="290"/>
      <c r="S146" s="290"/>
      <c r="T146" s="290"/>
      <c r="U146" s="290"/>
      <c r="V146" s="290"/>
      <c r="Z146" s="291"/>
      <c r="AA146" s="290"/>
      <c r="AB146" s="290"/>
      <c r="AC146" s="290"/>
      <c r="AD146" s="290"/>
      <c r="AE146" s="290"/>
      <c r="AF146" s="290"/>
      <c r="AG146" s="290"/>
      <c r="AH146" s="290"/>
      <c r="AI146" s="290"/>
      <c r="AJ146" s="290"/>
      <c r="AK146" s="290"/>
      <c r="AL146" s="16"/>
      <c r="AN146" s="291"/>
      <c r="AO146" s="291"/>
      <c r="AQ146" s="22"/>
      <c r="AR146" s="22"/>
      <c r="AS146" s="22"/>
      <c r="AT146" s="22"/>
      <c r="AU146" s="22"/>
      <c r="AV146" s="97"/>
      <c r="AW146" s="97"/>
      <c r="AX146" s="97"/>
      <c r="AY146" s="97"/>
      <c r="AZ146" s="97"/>
      <c r="BA146" s="97"/>
      <c r="BC146" s="290"/>
      <c r="BD146" s="290"/>
      <c r="BE146" s="290"/>
      <c r="BF146" s="290"/>
      <c r="BG146" s="290"/>
      <c r="BH146" s="290"/>
      <c r="BI146" s="290"/>
      <c r="BJ146" s="290"/>
      <c r="BK146" s="290"/>
      <c r="BL146" s="290"/>
      <c r="CN146" s="282"/>
      <c r="CO146" s="282"/>
      <c r="CP146" s="282"/>
      <c r="CZ146" s="409"/>
      <c r="DA146" s="409"/>
      <c r="DB146" s="409"/>
      <c r="DC146" s="409"/>
      <c r="DD146" s="409"/>
      <c r="DE146" s="409"/>
      <c r="DF146" s="409"/>
      <c r="DG146" s="409"/>
      <c r="DH146" s="409"/>
      <c r="DI146" s="409"/>
      <c r="DJ146" s="409"/>
      <c r="DK146" s="409"/>
      <c r="DL146" s="409"/>
      <c r="DM146" s="409"/>
      <c r="DN146" s="409"/>
      <c r="DO146" s="409"/>
      <c r="DP146" s="409"/>
      <c r="DQ146" s="409"/>
      <c r="DR146" s="409"/>
      <c r="DS146" s="409"/>
      <c r="DT146" s="409"/>
      <c r="DU146" s="409"/>
      <c r="DV146" s="409"/>
      <c r="DW146" s="409"/>
      <c r="DX146" s="409"/>
      <c r="DY146" s="409"/>
      <c r="DZ146" s="409"/>
      <c r="EA146" s="409"/>
      <c r="EB146" s="409"/>
      <c r="EC146" s="409"/>
      <c r="ED146" s="409"/>
      <c r="EE146" s="409"/>
      <c r="EF146" s="409"/>
      <c r="EG146" s="409"/>
      <c r="EH146" s="409"/>
      <c r="EI146" s="409"/>
      <c r="EJ146" s="409"/>
      <c r="EK146" s="409"/>
      <c r="EL146" s="409"/>
      <c r="EM146" s="409"/>
      <c r="EN146" s="409"/>
      <c r="EO146" s="409"/>
      <c r="EP146" s="409"/>
      <c r="EQ146" s="409"/>
      <c r="ER146" s="409"/>
      <c r="ES146" s="409"/>
      <c r="ET146" s="409"/>
      <c r="EU146" s="409"/>
      <c r="EV146" s="409"/>
      <c r="EW146" s="409"/>
      <c r="EX146" s="409"/>
      <c r="EY146" s="409"/>
      <c r="EZ146" s="409"/>
      <c r="FA146" s="409"/>
      <c r="FB146" s="409"/>
      <c r="FC146" s="409"/>
      <c r="FD146" s="409"/>
      <c r="FE146" s="409"/>
      <c r="FF146" s="409"/>
      <c r="FG146" s="409"/>
      <c r="FH146" s="409"/>
      <c r="FI146" s="409"/>
      <c r="FJ146" s="409"/>
      <c r="FK146" s="409"/>
      <c r="FL146" s="409"/>
      <c r="FM146" s="409"/>
      <c r="FN146" s="409"/>
      <c r="FO146" s="409"/>
      <c r="FP146" s="409"/>
      <c r="FQ146" s="409"/>
      <c r="FR146" s="409"/>
      <c r="FS146" s="409"/>
      <c r="FT146" s="409"/>
      <c r="FU146" s="409"/>
      <c r="FV146" s="409"/>
      <c r="FW146" s="409"/>
      <c r="FX146" s="409"/>
      <c r="FY146" s="409"/>
      <c r="FZ146" s="409"/>
      <c r="GA146" s="409"/>
      <c r="GB146" s="409"/>
      <c r="GC146" s="409"/>
      <c r="GD146" s="409"/>
      <c r="GE146" s="409"/>
      <c r="GF146" s="409"/>
      <c r="GG146" s="409"/>
      <c r="GH146" s="409"/>
      <c r="GI146" s="409"/>
      <c r="GJ146" s="409"/>
      <c r="GK146" s="409"/>
      <c r="GL146" s="409"/>
      <c r="GM146" s="409"/>
      <c r="GN146" s="409"/>
      <c r="GO146" s="409"/>
      <c r="GP146" s="409"/>
      <c r="GQ146" s="409"/>
      <c r="GR146" s="409"/>
      <c r="GS146" s="409"/>
      <c r="GT146" s="409"/>
      <c r="GU146" s="409"/>
      <c r="GV146" s="409"/>
      <c r="GW146" s="409"/>
      <c r="GX146" s="409"/>
      <c r="GY146" s="409"/>
      <c r="GZ146" s="409"/>
      <c r="HA146" s="409"/>
      <c r="HB146" s="409"/>
      <c r="HC146" s="409"/>
      <c r="HD146" s="409"/>
      <c r="HE146" s="409"/>
      <c r="HF146" s="409"/>
      <c r="HG146" s="409"/>
      <c r="HH146" s="409"/>
      <c r="HI146" s="409"/>
      <c r="HJ146" s="409"/>
      <c r="HK146" s="409"/>
      <c r="HL146" s="409"/>
      <c r="HM146" s="409"/>
      <c r="HN146" s="409"/>
      <c r="HO146" s="409"/>
      <c r="HP146" s="409"/>
      <c r="HQ146" s="409"/>
      <c r="HR146" s="409"/>
      <c r="HS146" s="409"/>
      <c r="HT146" s="409"/>
      <c r="HU146" s="409"/>
      <c r="HV146" s="409"/>
      <c r="HW146" s="409"/>
      <c r="HX146" s="409"/>
      <c r="HY146" s="409"/>
      <c r="HZ146" s="409"/>
      <c r="IA146" s="409"/>
      <c r="IB146" s="409"/>
      <c r="IC146" s="409"/>
      <c r="ID146" s="409"/>
      <c r="IE146" s="409"/>
      <c r="IF146" s="409"/>
      <c r="IG146" s="409"/>
      <c r="IH146" s="409"/>
      <c r="II146" s="409"/>
      <c r="IJ146" s="409"/>
      <c r="IK146" s="409"/>
      <c r="IL146" s="409"/>
      <c r="IM146" s="409"/>
      <c r="IN146" s="409"/>
      <c r="IO146" s="409"/>
      <c r="IP146" s="409"/>
      <c r="IQ146" s="409"/>
      <c r="IR146" s="409"/>
      <c r="IS146" s="409"/>
      <c r="IT146" s="409"/>
      <c r="IU146" s="409"/>
      <c r="IV146" s="409"/>
      <c r="IW146" s="409"/>
      <c r="IX146" s="409"/>
      <c r="IY146" s="409"/>
      <c r="IZ146" s="409"/>
      <c r="JA146" s="409"/>
      <c r="JB146" s="409"/>
      <c r="JC146" s="409"/>
      <c r="JD146" s="409"/>
      <c r="JE146" s="409"/>
      <c r="JF146" s="409"/>
      <c r="JG146" s="409"/>
      <c r="JH146" s="409"/>
      <c r="JI146" s="409"/>
      <c r="JJ146" s="409"/>
      <c r="JK146" s="409"/>
      <c r="JL146" s="409"/>
      <c r="JM146" s="409"/>
      <c r="JN146" s="409"/>
      <c r="JO146" s="409"/>
      <c r="JP146" s="409"/>
      <c r="JQ146" s="409"/>
      <c r="JR146" s="409"/>
      <c r="JS146" s="409"/>
      <c r="JT146" s="409"/>
      <c r="JU146" s="409"/>
      <c r="JV146" s="409"/>
      <c r="JW146" s="409"/>
      <c r="JX146" s="409"/>
      <c r="JY146" s="409"/>
      <c r="JZ146" s="409"/>
      <c r="KA146" s="409"/>
      <c r="KB146" s="409"/>
      <c r="KC146" s="409"/>
      <c r="KD146" s="409"/>
      <c r="KE146" s="409"/>
      <c r="KF146" s="409"/>
      <c r="KG146" s="409"/>
      <c r="KH146" s="409"/>
      <c r="KI146" s="409"/>
      <c r="KJ146" s="409"/>
      <c r="KK146" s="409"/>
      <c r="KL146" s="409"/>
      <c r="KM146" s="409"/>
      <c r="KN146" s="409"/>
      <c r="KO146" s="409"/>
      <c r="KP146" s="409"/>
      <c r="KQ146" s="409"/>
      <c r="KR146" s="409"/>
      <c r="KS146" s="409"/>
      <c r="KT146" s="409"/>
      <c r="KU146" s="409"/>
      <c r="KV146" s="409"/>
      <c r="KW146" s="409"/>
      <c r="KX146" s="409"/>
      <c r="KY146" s="409"/>
      <c r="KZ146" s="409"/>
      <c r="LA146" s="409"/>
      <c r="LB146" s="409"/>
      <c r="LC146" s="409"/>
      <c r="LD146" s="409"/>
      <c r="LE146" s="302"/>
      <c r="LF146" s="302"/>
      <c r="LG146" s="302"/>
      <c r="LH146" s="302"/>
      <c r="LI146" s="302"/>
      <c r="LJ146" s="302"/>
      <c r="LK146" s="302"/>
      <c r="LL146" s="302"/>
      <c r="LM146" s="302"/>
      <c r="LN146" s="302"/>
      <c r="LO146" s="302"/>
      <c r="LP146" s="302"/>
      <c r="LQ146" s="302"/>
      <c r="LR146" s="302"/>
      <c r="LS146" s="302"/>
      <c r="LT146" s="302"/>
      <c r="LU146" s="302"/>
      <c r="LV146" s="302"/>
      <c r="LW146" s="302"/>
      <c r="LX146" s="302"/>
      <c r="LY146" s="302"/>
      <c r="LZ146" s="302"/>
      <c r="MA146" s="302"/>
      <c r="MB146" s="302"/>
      <c r="MC146" s="302"/>
      <c r="MD146" s="302"/>
      <c r="ME146" s="302"/>
      <c r="MF146" s="302"/>
      <c r="MG146" s="302"/>
      <c r="MH146" s="302"/>
      <c r="MI146" s="302"/>
      <c r="MJ146" s="302"/>
      <c r="MK146" s="302"/>
      <c r="ML146" s="302"/>
      <c r="MM146" s="302"/>
      <c r="MN146" s="302"/>
      <c r="MO146" s="302"/>
      <c r="MP146" s="302"/>
      <c r="MQ146" s="302"/>
      <c r="MR146" s="302"/>
      <c r="MS146" s="302"/>
      <c r="MT146" s="302"/>
      <c r="MU146" s="302"/>
      <c r="MV146" s="302"/>
      <c r="MW146" s="302"/>
      <c r="MX146" s="302"/>
      <c r="MY146" s="302"/>
      <c r="MZ146" s="302"/>
      <c r="NA146" s="302"/>
      <c r="NB146" s="302"/>
      <c r="NC146" s="302"/>
      <c r="ND146" s="302"/>
      <c r="NE146" s="302"/>
      <c r="NF146" s="302"/>
      <c r="NG146" s="302"/>
      <c r="NH146" s="302"/>
      <c r="NI146" s="302"/>
      <c r="NJ146" s="302"/>
      <c r="NK146" s="302"/>
      <c r="NL146" s="302"/>
      <c r="NM146" s="302"/>
      <c r="NN146" s="302"/>
      <c r="NO146" s="302"/>
      <c r="NP146" s="302"/>
      <c r="NQ146" s="302"/>
      <c r="NR146" s="302"/>
      <c r="NS146" s="302"/>
      <c r="NT146" s="302"/>
      <c r="NU146" s="302"/>
      <c r="NV146" s="302"/>
      <c r="NW146" s="302"/>
      <c r="NX146" s="302"/>
      <c r="NY146" s="568"/>
      <c r="NZ146" s="568"/>
      <c r="OA146" s="575"/>
      <c r="OB146" s="575"/>
      <c r="OC146" s="578"/>
      <c r="OD146" s="578"/>
    </row>
    <row r="147" spans="1:394" s="292" customFormat="1" ht="22.5" customHeight="1">
      <c r="A147" s="290"/>
      <c r="B147" s="290"/>
      <c r="D147" s="82"/>
      <c r="E147" s="82"/>
      <c r="F147" s="82"/>
      <c r="G147" s="44"/>
      <c r="H147" s="67"/>
      <c r="K147" s="16"/>
      <c r="L147" s="16"/>
      <c r="M147" s="290"/>
      <c r="N147" s="290"/>
      <c r="O147" s="16"/>
      <c r="P147" s="290"/>
      <c r="Q147" s="290"/>
      <c r="R147" s="290"/>
      <c r="S147" s="290"/>
      <c r="T147" s="290"/>
      <c r="U147" s="290"/>
      <c r="V147" s="290"/>
      <c r="Z147" s="291"/>
      <c r="AA147" s="290"/>
      <c r="AB147" s="290"/>
      <c r="AC147" s="290"/>
      <c r="AD147" s="290"/>
      <c r="AE147" s="290"/>
      <c r="AF147" s="290"/>
      <c r="AG147" s="290"/>
      <c r="AH147" s="290"/>
      <c r="AI147" s="290"/>
      <c r="AJ147" s="290"/>
      <c r="AK147" s="290"/>
      <c r="AL147" s="16"/>
      <c r="AN147" s="291"/>
      <c r="AO147" s="291"/>
      <c r="AQ147" s="22"/>
      <c r="AR147" s="22"/>
      <c r="AS147" s="22"/>
      <c r="AT147" s="22"/>
      <c r="AU147" s="22"/>
      <c r="AV147" s="97"/>
      <c r="AW147" s="97"/>
      <c r="AX147" s="97"/>
      <c r="AY147" s="97"/>
      <c r="AZ147" s="97"/>
      <c r="BA147" s="97"/>
      <c r="BC147" s="290"/>
      <c r="BD147" s="290"/>
      <c r="BE147" s="290"/>
      <c r="BF147" s="290"/>
      <c r="BG147" s="290"/>
      <c r="BH147" s="290"/>
      <c r="BI147" s="290"/>
      <c r="BJ147" s="290"/>
      <c r="BK147" s="290"/>
      <c r="BL147" s="290"/>
      <c r="CN147" s="282"/>
      <c r="CO147" s="282"/>
      <c r="CP147" s="282"/>
      <c r="CZ147" s="409"/>
      <c r="DA147" s="409"/>
      <c r="DB147" s="409"/>
      <c r="DC147" s="409"/>
      <c r="DD147" s="409"/>
      <c r="DE147" s="409"/>
      <c r="DF147" s="409"/>
      <c r="DG147" s="409"/>
      <c r="DH147" s="409"/>
      <c r="DI147" s="409"/>
      <c r="DJ147" s="409"/>
      <c r="DK147" s="409"/>
      <c r="DL147" s="409"/>
      <c r="DM147" s="409"/>
      <c r="DN147" s="409"/>
      <c r="DO147" s="409"/>
      <c r="DP147" s="409"/>
      <c r="DQ147" s="409"/>
      <c r="DR147" s="409"/>
      <c r="DS147" s="409"/>
      <c r="DT147" s="409"/>
      <c r="DU147" s="409"/>
      <c r="DV147" s="409"/>
      <c r="DW147" s="409"/>
      <c r="DX147" s="409"/>
      <c r="DY147" s="409"/>
      <c r="DZ147" s="409"/>
      <c r="EA147" s="409"/>
      <c r="EB147" s="409"/>
      <c r="EC147" s="409"/>
      <c r="ED147" s="409"/>
      <c r="EE147" s="409"/>
      <c r="EF147" s="409"/>
      <c r="EG147" s="409"/>
      <c r="EH147" s="409"/>
      <c r="EI147" s="409"/>
      <c r="EJ147" s="409"/>
      <c r="EK147" s="409"/>
      <c r="EL147" s="409"/>
      <c r="EM147" s="409"/>
      <c r="EN147" s="409"/>
      <c r="EO147" s="409"/>
      <c r="EP147" s="409"/>
      <c r="EQ147" s="409"/>
      <c r="ER147" s="409"/>
      <c r="ES147" s="409"/>
      <c r="ET147" s="409"/>
      <c r="EU147" s="409"/>
      <c r="EV147" s="409"/>
      <c r="EW147" s="409"/>
      <c r="EX147" s="409"/>
      <c r="EY147" s="409"/>
      <c r="EZ147" s="409"/>
      <c r="FA147" s="409"/>
      <c r="FB147" s="409"/>
      <c r="FC147" s="409"/>
      <c r="FD147" s="409"/>
      <c r="FE147" s="409"/>
      <c r="FF147" s="409"/>
      <c r="FG147" s="409"/>
      <c r="FH147" s="409"/>
      <c r="FI147" s="409"/>
      <c r="FJ147" s="409"/>
      <c r="FK147" s="409"/>
      <c r="FL147" s="409"/>
      <c r="FM147" s="409"/>
      <c r="FN147" s="409"/>
      <c r="FO147" s="409"/>
      <c r="FP147" s="409"/>
      <c r="FQ147" s="409"/>
      <c r="FR147" s="409"/>
      <c r="FS147" s="409"/>
      <c r="FT147" s="409"/>
      <c r="FU147" s="409"/>
      <c r="FV147" s="409"/>
      <c r="FW147" s="409"/>
      <c r="FX147" s="409"/>
      <c r="FY147" s="409"/>
      <c r="FZ147" s="409"/>
      <c r="GA147" s="409"/>
      <c r="GB147" s="409"/>
      <c r="GC147" s="409"/>
      <c r="GD147" s="409"/>
      <c r="GE147" s="409"/>
      <c r="GF147" s="409"/>
      <c r="GG147" s="409"/>
      <c r="GH147" s="409"/>
      <c r="GI147" s="409"/>
      <c r="GJ147" s="409"/>
      <c r="GK147" s="409"/>
      <c r="GL147" s="409"/>
      <c r="GM147" s="409"/>
      <c r="GN147" s="409"/>
      <c r="GO147" s="409"/>
      <c r="GP147" s="409"/>
      <c r="GQ147" s="409"/>
      <c r="GR147" s="409"/>
      <c r="GS147" s="409"/>
      <c r="GT147" s="409"/>
      <c r="GU147" s="409"/>
      <c r="GV147" s="409"/>
      <c r="GW147" s="409"/>
      <c r="GX147" s="409"/>
      <c r="GY147" s="409"/>
      <c r="GZ147" s="409"/>
      <c r="HA147" s="409"/>
      <c r="HB147" s="409"/>
      <c r="HC147" s="409"/>
      <c r="HD147" s="409"/>
      <c r="HE147" s="409"/>
      <c r="HF147" s="409"/>
      <c r="HG147" s="409"/>
      <c r="HH147" s="409"/>
      <c r="HI147" s="409"/>
      <c r="HJ147" s="409"/>
      <c r="HK147" s="409"/>
      <c r="HL147" s="409"/>
      <c r="HM147" s="409"/>
      <c r="HN147" s="409"/>
      <c r="HO147" s="409"/>
      <c r="HP147" s="409"/>
      <c r="HQ147" s="409"/>
      <c r="HR147" s="409"/>
      <c r="HS147" s="409"/>
      <c r="HT147" s="409"/>
      <c r="HU147" s="409"/>
      <c r="HV147" s="409"/>
      <c r="HW147" s="409"/>
      <c r="HX147" s="409"/>
      <c r="HY147" s="409"/>
      <c r="HZ147" s="409"/>
      <c r="IA147" s="409"/>
      <c r="IB147" s="409"/>
      <c r="IC147" s="409"/>
      <c r="ID147" s="409"/>
      <c r="IE147" s="409"/>
      <c r="IF147" s="409"/>
      <c r="IG147" s="409"/>
      <c r="IH147" s="409"/>
      <c r="II147" s="409"/>
      <c r="IJ147" s="409"/>
      <c r="IK147" s="409"/>
      <c r="IL147" s="409"/>
      <c r="IM147" s="409"/>
      <c r="IN147" s="409"/>
      <c r="IO147" s="409"/>
      <c r="IP147" s="409"/>
      <c r="IQ147" s="409"/>
      <c r="IR147" s="409"/>
      <c r="IS147" s="409"/>
      <c r="IT147" s="409"/>
      <c r="IU147" s="409"/>
      <c r="IV147" s="409"/>
      <c r="IW147" s="409"/>
      <c r="IX147" s="409"/>
      <c r="IY147" s="409"/>
      <c r="IZ147" s="409"/>
      <c r="JA147" s="409"/>
      <c r="JB147" s="409"/>
      <c r="JC147" s="409"/>
      <c r="JD147" s="409"/>
      <c r="JE147" s="409"/>
      <c r="JF147" s="409"/>
      <c r="JG147" s="409"/>
      <c r="JH147" s="409"/>
      <c r="JI147" s="409"/>
      <c r="JJ147" s="409"/>
      <c r="JK147" s="409"/>
      <c r="JL147" s="409"/>
      <c r="JM147" s="409"/>
      <c r="JN147" s="409"/>
      <c r="JO147" s="409"/>
      <c r="JP147" s="409"/>
      <c r="JQ147" s="409"/>
      <c r="JR147" s="409"/>
      <c r="JS147" s="409"/>
      <c r="JT147" s="409"/>
      <c r="JU147" s="409"/>
      <c r="JV147" s="409"/>
      <c r="JW147" s="409"/>
      <c r="JX147" s="409"/>
      <c r="JY147" s="409"/>
      <c r="JZ147" s="409"/>
      <c r="KA147" s="409"/>
      <c r="KB147" s="409"/>
      <c r="KC147" s="409"/>
      <c r="KD147" s="409"/>
      <c r="KE147" s="409"/>
      <c r="KF147" s="409"/>
      <c r="KG147" s="409"/>
      <c r="KH147" s="409"/>
      <c r="KI147" s="409"/>
      <c r="KJ147" s="409"/>
      <c r="KK147" s="409"/>
      <c r="KL147" s="409"/>
      <c r="KM147" s="409"/>
      <c r="KN147" s="409"/>
      <c r="KO147" s="409"/>
      <c r="KP147" s="409"/>
      <c r="KQ147" s="409"/>
      <c r="KR147" s="409"/>
      <c r="KS147" s="409"/>
      <c r="KT147" s="409"/>
      <c r="KU147" s="409"/>
      <c r="KV147" s="409"/>
      <c r="KW147" s="409"/>
      <c r="KX147" s="409"/>
      <c r="KY147" s="409"/>
      <c r="KZ147" s="409"/>
      <c r="LA147" s="409"/>
      <c r="LB147" s="409"/>
      <c r="LC147" s="409"/>
      <c r="LD147" s="409"/>
      <c r="LE147" s="302"/>
      <c r="LF147" s="302"/>
      <c r="LG147" s="302"/>
      <c r="LH147" s="302"/>
      <c r="LI147" s="302"/>
      <c r="LJ147" s="302"/>
      <c r="LK147" s="302"/>
      <c r="LL147" s="302"/>
      <c r="LM147" s="302"/>
      <c r="LN147" s="302"/>
      <c r="LO147" s="302"/>
      <c r="LP147" s="302"/>
      <c r="LQ147" s="302"/>
      <c r="LR147" s="302"/>
      <c r="LS147" s="302"/>
      <c r="LT147" s="302"/>
      <c r="LU147" s="302"/>
      <c r="LV147" s="302"/>
      <c r="LW147" s="302"/>
      <c r="LX147" s="302"/>
      <c r="LY147" s="302"/>
      <c r="LZ147" s="302"/>
      <c r="MA147" s="302"/>
      <c r="MB147" s="302"/>
      <c r="MC147" s="302"/>
      <c r="MD147" s="302"/>
      <c r="ME147" s="302"/>
      <c r="MF147" s="302"/>
      <c r="MG147" s="302"/>
      <c r="MH147" s="302"/>
      <c r="MI147" s="302"/>
      <c r="MJ147" s="302"/>
      <c r="MK147" s="302"/>
      <c r="ML147" s="302"/>
      <c r="MM147" s="302"/>
      <c r="MN147" s="302"/>
      <c r="MO147" s="302"/>
      <c r="MP147" s="302"/>
      <c r="MQ147" s="302"/>
      <c r="MR147" s="302"/>
      <c r="MS147" s="302"/>
      <c r="MT147" s="302"/>
      <c r="MU147" s="302"/>
      <c r="MV147" s="302"/>
      <c r="MW147" s="302"/>
      <c r="MX147" s="302"/>
      <c r="MY147" s="302"/>
      <c r="MZ147" s="302"/>
      <c r="NA147" s="302"/>
      <c r="NB147" s="302"/>
      <c r="NC147" s="302"/>
      <c r="ND147" s="302"/>
      <c r="NE147" s="302"/>
      <c r="NF147" s="302"/>
      <c r="NG147" s="302"/>
      <c r="NH147" s="302"/>
      <c r="NI147" s="302"/>
      <c r="NJ147" s="302"/>
      <c r="NK147" s="302"/>
      <c r="NL147" s="302"/>
      <c r="NM147" s="302"/>
      <c r="NN147" s="302"/>
      <c r="NO147" s="302"/>
      <c r="NP147" s="302"/>
      <c r="NQ147" s="302"/>
      <c r="NR147" s="302"/>
      <c r="NS147" s="302"/>
      <c r="NT147" s="302"/>
      <c r="NU147" s="302"/>
      <c r="NV147" s="302"/>
      <c r="NW147" s="302"/>
      <c r="NX147" s="302"/>
      <c r="NY147" s="568"/>
      <c r="NZ147" s="568"/>
      <c r="OA147" s="575"/>
      <c r="OB147" s="575"/>
      <c r="OC147" s="578"/>
      <c r="OD147" s="578"/>
    </row>
    <row r="148" spans="1:394" s="292" customFormat="1" ht="22.5" customHeight="1">
      <c r="A148" s="290"/>
      <c r="B148" s="290"/>
      <c r="D148" s="82"/>
      <c r="E148" s="82"/>
      <c r="F148" s="82"/>
      <c r="G148" s="44"/>
      <c r="H148" s="67"/>
      <c r="K148" s="16"/>
      <c r="L148" s="16"/>
      <c r="M148" s="290"/>
      <c r="N148" s="290"/>
      <c r="O148" s="16"/>
      <c r="P148" s="290"/>
      <c r="Q148" s="290"/>
      <c r="R148" s="290"/>
      <c r="S148" s="290"/>
      <c r="T148" s="290"/>
      <c r="U148" s="290"/>
      <c r="V148" s="290"/>
      <c r="Z148" s="291"/>
      <c r="AA148" s="290"/>
      <c r="AB148" s="290"/>
      <c r="AC148" s="290"/>
      <c r="AD148" s="290"/>
      <c r="AE148" s="290"/>
      <c r="AF148" s="290"/>
      <c r="AG148" s="290"/>
      <c r="AH148" s="290"/>
      <c r="AI148" s="290"/>
      <c r="AJ148" s="290"/>
      <c r="AK148" s="290"/>
      <c r="AL148" s="16"/>
      <c r="AN148" s="291"/>
      <c r="AO148" s="291"/>
      <c r="AQ148" s="22"/>
      <c r="AR148" s="22"/>
      <c r="AS148" s="22"/>
      <c r="AT148" s="22"/>
      <c r="AU148" s="22"/>
      <c r="AV148" s="97"/>
      <c r="AW148" s="97"/>
      <c r="AX148" s="97"/>
      <c r="AY148" s="97"/>
      <c r="AZ148" s="97"/>
      <c r="BA148" s="97"/>
      <c r="BC148" s="290"/>
      <c r="BD148" s="290"/>
      <c r="BE148" s="290"/>
      <c r="BF148" s="290"/>
      <c r="BG148" s="290"/>
      <c r="BH148" s="290"/>
      <c r="BI148" s="290"/>
      <c r="BJ148" s="290"/>
      <c r="BK148" s="290"/>
      <c r="BL148" s="290"/>
      <c r="CN148" s="282"/>
      <c r="CO148" s="282"/>
      <c r="CP148" s="282"/>
      <c r="CZ148" s="409"/>
      <c r="DA148" s="409"/>
      <c r="DB148" s="409"/>
      <c r="DC148" s="409"/>
      <c r="DD148" s="409"/>
      <c r="DE148" s="409"/>
      <c r="DF148" s="409"/>
      <c r="DG148" s="409"/>
      <c r="DH148" s="409"/>
      <c r="DI148" s="409"/>
      <c r="DJ148" s="409"/>
      <c r="DK148" s="409"/>
      <c r="DL148" s="409"/>
      <c r="DM148" s="409"/>
      <c r="DN148" s="409"/>
      <c r="DO148" s="409"/>
      <c r="DP148" s="409"/>
      <c r="DQ148" s="409"/>
      <c r="DR148" s="409"/>
      <c r="DS148" s="409"/>
      <c r="DT148" s="409"/>
      <c r="DU148" s="409"/>
      <c r="DV148" s="409"/>
      <c r="DW148" s="409"/>
      <c r="DX148" s="409"/>
      <c r="DY148" s="409"/>
      <c r="DZ148" s="409"/>
      <c r="EA148" s="409"/>
      <c r="EB148" s="409"/>
      <c r="EC148" s="409"/>
      <c r="ED148" s="409"/>
      <c r="EE148" s="409"/>
      <c r="EF148" s="409"/>
      <c r="EG148" s="409"/>
      <c r="EH148" s="409"/>
      <c r="EI148" s="409"/>
      <c r="EJ148" s="409"/>
      <c r="EK148" s="409"/>
      <c r="EL148" s="409"/>
      <c r="EM148" s="409"/>
      <c r="EN148" s="409"/>
      <c r="EO148" s="409"/>
      <c r="EP148" s="409"/>
      <c r="EQ148" s="409"/>
      <c r="ER148" s="409"/>
      <c r="ES148" s="409"/>
      <c r="ET148" s="409"/>
      <c r="EU148" s="409"/>
      <c r="EV148" s="409"/>
      <c r="EW148" s="409"/>
      <c r="EX148" s="409"/>
      <c r="EY148" s="409"/>
      <c r="EZ148" s="409"/>
      <c r="FA148" s="409"/>
      <c r="FB148" s="409"/>
      <c r="FC148" s="409"/>
      <c r="FD148" s="409"/>
      <c r="FE148" s="409"/>
      <c r="FF148" s="409"/>
      <c r="FG148" s="409"/>
      <c r="FH148" s="409"/>
      <c r="FI148" s="409"/>
      <c r="FJ148" s="409"/>
      <c r="FK148" s="409"/>
      <c r="FL148" s="409"/>
      <c r="FM148" s="409"/>
      <c r="FN148" s="409"/>
      <c r="FO148" s="409"/>
      <c r="FP148" s="409"/>
      <c r="FQ148" s="409"/>
      <c r="FR148" s="409"/>
      <c r="FS148" s="409"/>
      <c r="FT148" s="409"/>
      <c r="FU148" s="409"/>
      <c r="FV148" s="409"/>
      <c r="FW148" s="409"/>
      <c r="FX148" s="409"/>
      <c r="FY148" s="409"/>
      <c r="FZ148" s="409"/>
      <c r="GA148" s="409"/>
      <c r="GB148" s="409"/>
      <c r="GC148" s="409"/>
      <c r="GD148" s="409"/>
      <c r="GE148" s="409"/>
      <c r="GF148" s="409"/>
      <c r="GG148" s="409"/>
      <c r="GH148" s="409"/>
      <c r="GI148" s="409"/>
      <c r="GJ148" s="409"/>
      <c r="GK148" s="409"/>
      <c r="GL148" s="409"/>
      <c r="GM148" s="409"/>
      <c r="GN148" s="409"/>
      <c r="GO148" s="409"/>
      <c r="GP148" s="409"/>
      <c r="GQ148" s="409"/>
      <c r="GR148" s="409"/>
      <c r="GS148" s="409"/>
      <c r="GT148" s="409"/>
      <c r="GU148" s="409"/>
      <c r="GV148" s="409"/>
      <c r="GW148" s="409"/>
      <c r="GX148" s="409"/>
      <c r="GY148" s="409"/>
      <c r="GZ148" s="409"/>
      <c r="HA148" s="409"/>
      <c r="HB148" s="409"/>
      <c r="HC148" s="409"/>
      <c r="HD148" s="409"/>
      <c r="HE148" s="409"/>
      <c r="HF148" s="409"/>
      <c r="HG148" s="409"/>
      <c r="HH148" s="409"/>
      <c r="HI148" s="409"/>
      <c r="HJ148" s="409"/>
      <c r="HK148" s="409"/>
      <c r="HL148" s="409"/>
      <c r="HM148" s="409"/>
      <c r="HN148" s="409"/>
      <c r="HO148" s="409"/>
      <c r="HP148" s="409"/>
      <c r="HQ148" s="409"/>
      <c r="HR148" s="409"/>
      <c r="HS148" s="409"/>
      <c r="HT148" s="409"/>
      <c r="HU148" s="409"/>
      <c r="HV148" s="409"/>
      <c r="HW148" s="409"/>
      <c r="HX148" s="409"/>
      <c r="HY148" s="409"/>
      <c r="HZ148" s="409"/>
      <c r="IA148" s="409"/>
      <c r="IB148" s="409"/>
      <c r="IC148" s="409"/>
      <c r="ID148" s="409"/>
      <c r="IE148" s="409"/>
      <c r="IF148" s="409"/>
      <c r="IG148" s="409"/>
      <c r="IH148" s="409"/>
      <c r="II148" s="409"/>
      <c r="IJ148" s="409"/>
      <c r="IK148" s="409"/>
      <c r="IL148" s="409"/>
      <c r="IM148" s="409"/>
      <c r="IN148" s="409"/>
      <c r="IO148" s="409"/>
      <c r="IP148" s="409"/>
      <c r="IQ148" s="409"/>
      <c r="IR148" s="409"/>
      <c r="IS148" s="409"/>
      <c r="IT148" s="409"/>
      <c r="IU148" s="409"/>
      <c r="IV148" s="409"/>
      <c r="IW148" s="409"/>
      <c r="IX148" s="409"/>
      <c r="IY148" s="409"/>
      <c r="IZ148" s="409"/>
      <c r="JA148" s="409"/>
      <c r="JB148" s="409"/>
      <c r="JC148" s="409"/>
      <c r="JD148" s="409"/>
      <c r="JE148" s="409"/>
      <c r="JF148" s="409"/>
      <c r="JG148" s="409"/>
      <c r="JH148" s="409"/>
      <c r="JI148" s="409"/>
      <c r="JJ148" s="409"/>
      <c r="JK148" s="409"/>
      <c r="JL148" s="409"/>
      <c r="JM148" s="409"/>
      <c r="JN148" s="409"/>
      <c r="JO148" s="409"/>
      <c r="JP148" s="409"/>
      <c r="JQ148" s="409"/>
      <c r="JR148" s="409"/>
      <c r="JS148" s="409"/>
      <c r="JT148" s="409"/>
      <c r="JU148" s="409"/>
      <c r="JV148" s="409"/>
      <c r="JW148" s="409"/>
      <c r="JX148" s="409"/>
      <c r="JY148" s="409"/>
      <c r="JZ148" s="409"/>
      <c r="KA148" s="409"/>
      <c r="KB148" s="409"/>
      <c r="KC148" s="409"/>
      <c r="KD148" s="409"/>
      <c r="KE148" s="409"/>
      <c r="KF148" s="409"/>
      <c r="KG148" s="409"/>
      <c r="KH148" s="409"/>
      <c r="KI148" s="409"/>
      <c r="KJ148" s="409"/>
      <c r="KK148" s="409"/>
      <c r="KL148" s="409"/>
      <c r="KM148" s="409"/>
      <c r="KN148" s="409"/>
      <c r="KO148" s="409"/>
      <c r="KP148" s="409"/>
      <c r="KQ148" s="409"/>
      <c r="KR148" s="409"/>
      <c r="KS148" s="409"/>
      <c r="KT148" s="409"/>
      <c r="KU148" s="409"/>
      <c r="KV148" s="409"/>
      <c r="KW148" s="409"/>
      <c r="KX148" s="409"/>
      <c r="KY148" s="409"/>
      <c r="KZ148" s="409"/>
      <c r="LA148" s="409"/>
      <c r="LB148" s="409"/>
      <c r="LC148" s="409"/>
      <c r="LD148" s="409"/>
      <c r="LE148" s="302"/>
      <c r="LF148" s="302"/>
      <c r="LG148" s="302"/>
      <c r="LH148" s="302"/>
      <c r="LI148" s="302"/>
      <c r="LJ148" s="302"/>
      <c r="LK148" s="302"/>
      <c r="LL148" s="302"/>
      <c r="LM148" s="302"/>
      <c r="LN148" s="302"/>
      <c r="LO148" s="302"/>
      <c r="LP148" s="302"/>
      <c r="LQ148" s="302"/>
      <c r="LR148" s="302"/>
      <c r="LS148" s="302"/>
      <c r="LT148" s="302"/>
      <c r="LU148" s="302"/>
      <c r="LV148" s="302"/>
      <c r="LW148" s="302"/>
      <c r="LX148" s="302"/>
      <c r="LY148" s="302"/>
      <c r="LZ148" s="302"/>
      <c r="MA148" s="302"/>
      <c r="MB148" s="302"/>
      <c r="MC148" s="302"/>
      <c r="MD148" s="302"/>
      <c r="ME148" s="302"/>
      <c r="MF148" s="302"/>
      <c r="MG148" s="302"/>
      <c r="MH148" s="302"/>
      <c r="MI148" s="302"/>
      <c r="MJ148" s="302"/>
      <c r="MK148" s="302"/>
      <c r="ML148" s="302"/>
      <c r="MM148" s="302"/>
      <c r="MN148" s="302"/>
      <c r="MO148" s="302"/>
      <c r="MP148" s="302"/>
      <c r="MQ148" s="302"/>
      <c r="MR148" s="302"/>
      <c r="MS148" s="302"/>
      <c r="MT148" s="302"/>
      <c r="MU148" s="302"/>
      <c r="MV148" s="302"/>
      <c r="MW148" s="302"/>
      <c r="MX148" s="302"/>
      <c r="MY148" s="302"/>
      <c r="MZ148" s="302"/>
      <c r="NA148" s="302"/>
      <c r="NB148" s="302"/>
      <c r="NC148" s="302"/>
      <c r="ND148" s="302"/>
      <c r="NE148" s="302"/>
      <c r="NF148" s="302"/>
      <c r="NG148" s="302"/>
      <c r="NH148" s="302"/>
      <c r="NI148" s="302"/>
      <c r="NJ148" s="302"/>
      <c r="NK148" s="302"/>
      <c r="NL148" s="302"/>
      <c r="NM148" s="302"/>
      <c r="NN148" s="302"/>
      <c r="NO148" s="302"/>
      <c r="NP148" s="302"/>
      <c r="NQ148" s="302"/>
      <c r="NR148" s="302"/>
      <c r="NS148" s="302"/>
      <c r="NT148" s="302"/>
      <c r="NU148" s="302"/>
      <c r="NV148" s="302"/>
      <c r="NW148" s="302"/>
      <c r="NX148" s="302"/>
      <c r="NY148" s="568"/>
      <c r="NZ148" s="568"/>
      <c r="OA148" s="575"/>
      <c r="OB148" s="575"/>
      <c r="OC148" s="578"/>
      <c r="OD148" s="578"/>
    </row>
    <row r="149" spans="1:394" s="292" customFormat="1" ht="22.5" customHeight="1">
      <c r="A149" s="290"/>
      <c r="B149" s="290"/>
      <c r="D149" s="82"/>
      <c r="E149" s="82"/>
      <c r="F149" s="82"/>
      <c r="G149" s="44"/>
      <c r="H149" s="67"/>
      <c r="K149" s="16"/>
      <c r="L149" s="16"/>
      <c r="M149" s="290"/>
      <c r="N149" s="290"/>
      <c r="O149" s="16"/>
      <c r="P149" s="290"/>
      <c r="Q149" s="290"/>
      <c r="R149" s="290"/>
      <c r="S149" s="290"/>
      <c r="T149" s="290"/>
      <c r="U149" s="290"/>
      <c r="V149" s="290"/>
      <c r="Z149" s="291"/>
      <c r="AA149" s="290"/>
      <c r="AB149" s="290"/>
      <c r="AC149" s="290"/>
      <c r="AD149" s="290"/>
      <c r="AE149" s="290"/>
      <c r="AF149" s="290"/>
      <c r="AG149" s="290"/>
      <c r="AH149" s="290"/>
      <c r="AI149" s="290"/>
      <c r="AJ149" s="290"/>
      <c r="AK149" s="290"/>
      <c r="AL149" s="16"/>
      <c r="AN149" s="291"/>
      <c r="AO149" s="291"/>
      <c r="AQ149" s="22"/>
      <c r="AR149" s="22"/>
      <c r="AS149" s="22"/>
      <c r="AT149" s="22"/>
      <c r="AU149" s="22"/>
      <c r="AV149" s="97"/>
      <c r="AW149" s="97"/>
      <c r="AX149" s="97"/>
      <c r="AY149" s="97"/>
      <c r="AZ149" s="97"/>
      <c r="BA149" s="97"/>
      <c r="BC149" s="290"/>
      <c r="BD149" s="290"/>
      <c r="BE149" s="290"/>
      <c r="BF149" s="290"/>
      <c r="BG149" s="290"/>
      <c r="BH149" s="290"/>
      <c r="BI149" s="290"/>
      <c r="BJ149" s="290"/>
      <c r="BK149" s="290"/>
      <c r="BL149" s="290"/>
      <c r="CN149" s="282"/>
      <c r="CO149" s="282"/>
      <c r="CP149" s="282"/>
      <c r="CZ149" s="409"/>
      <c r="DA149" s="409"/>
      <c r="DB149" s="409"/>
      <c r="DC149" s="409"/>
      <c r="DD149" s="409"/>
      <c r="DE149" s="409"/>
      <c r="DF149" s="409"/>
      <c r="DG149" s="409"/>
      <c r="DH149" s="409"/>
      <c r="DI149" s="409"/>
      <c r="DJ149" s="409"/>
      <c r="DK149" s="409"/>
      <c r="DL149" s="409"/>
      <c r="DM149" s="409"/>
      <c r="DN149" s="409"/>
      <c r="DO149" s="409"/>
      <c r="DP149" s="409"/>
      <c r="DQ149" s="409"/>
      <c r="DR149" s="409"/>
      <c r="DS149" s="409"/>
      <c r="DT149" s="409"/>
      <c r="DU149" s="409"/>
      <c r="DV149" s="409"/>
      <c r="DW149" s="409"/>
      <c r="DX149" s="409"/>
      <c r="DY149" s="409"/>
      <c r="DZ149" s="409"/>
      <c r="EA149" s="409"/>
      <c r="EB149" s="409"/>
      <c r="EC149" s="409"/>
      <c r="ED149" s="409"/>
      <c r="EE149" s="409"/>
      <c r="EF149" s="409"/>
      <c r="EG149" s="409"/>
      <c r="EH149" s="409"/>
      <c r="EI149" s="409"/>
      <c r="EJ149" s="409"/>
      <c r="EK149" s="409"/>
      <c r="EL149" s="409"/>
      <c r="EM149" s="409"/>
      <c r="EN149" s="409"/>
      <c r="EO149" s="409"/>
      <c r="EP149" s="409"/>
      <c r="EQ149" s="409"/>
      <c r="ER149" s="409"/>
      <c r="ES149" s="409"/>
      <c r="ET149" s="409"/>
      <c r="EU149" s="409"/>
      <c r="EV149" s="409"/>
      <c r="EW149" s="409"/>
      <c r="EX149" s="409"/>
      <c r="EY149" s="409"/>
      <c r="EZ149" s="409"/>
      <c r="FA149" s="409"/>
      <c r="FB149" s="409"/>
      <c r="FC149" s="409"/>
      <c r="FD149" s="409"/>
      <c r="FE149" s="409"/>
      <c r="FF149" s="409"/>
      <c r="FG149" s="409"/>
      <c r="FH149" s="409"/>
      <c r="FI149" s="409"/>
      <c r="FJ149" s="409"/>
      <c r="FK149" s="409"/>
      <c r="FL149" s="409"/>
      <c r="FM149" s="409"/>
      <c r="FN149" s="409"/>
      <c r="FO149" s="409"/>
      <c r="FP149" s="409"/>
      <c r="FQ149" s="409"/>
      <c r="FR149" s="409"/>
      <c r="FS149" s="409"/>
      <c r="FT149" s="409"/>
      <c r="FU149" s="409"/>
      <c r="FV149" s="409"/>
      <c r="FW149" s="409"/>
      <c r="FX149" s="409"/>
      <c r="FY149" s="409"/>
      <c r="FZ149" s="409"/>
      <c r="GA149" s="409"/>
      <c r="GB149" s="409"/>
      <c r="GC149" s="409"/>
      <c r="GD149" s="409"/>
      <c r="GE149" s="409"/>
      <c r="GF149" s="409"/>
      <c r="GG149" s="409"/>
      <c r="GH149" s="409"/>
      <c r="GI149" s="409"/>
      <c r="GJ149" s="409"/>
      <c r="GK149" s="409"/>
      <c r="GL149" s="409"/>
      <c r="GM149" s="409"/>
      <c r="GN149" s="409"/>
      <c r="GO149" s="409"/>
      <c r="GP149" s="409"/>
      <c r="GQ149" s="409"/>
      <c r="GR149" s="409"/>
      <c r="GS149" s="409"/>
      <c r="GT149" s="409"/>
      <c r="GU149" s="409"/>
      <c r="GV149" s="409"/>
      <c r="GW149" s="409"/>
      <c r="GX149" s="409"/>
      <c r="GY149" s="409"/>
      <c r="GZ149" s="409"/>
      <c r="HA149" s="409"/>
      <c r="HB149" s="409"/>
      <c r="HC149" s="409"/>
      <c r="HD149" s="409"/>
      <c r="HE149" s="409"/>
      <c r="HF149" s="409"/>
      <c r="HG149" s="409"/>
      <c r="HH149" s="409"/>
      <c r="HI149" s="409"/>
      <c r="HJ149" s="409"/>
      <c r="HK149" s="409"/>
      <c r="HL149" s="409"/>
      <c r="HM149" s="409"/>
      <c r="HN149" s="409"/>
      <c r="HO149" s="409"/>
      <c r="HP149" s="409"/>
      <c r="HQ149" s="409"/>
      <c r="HR149" s="409"/>
      <c r="HS149" s="409"/>
      <c r="HT149" s="409"/>
      <c r="HU149" s="409"/>
      <c r="HV149" s="409"/>
      <c r="HW149" s="409"/>
      <c r="HX149" s="409"/>
      <c r="HY149" s="409"/>
      <c r="HZ149" s="409"/>
      <c r="IA149" s="409"/>
      <c r="IB149" s="409"/>
      <c r="IC149" s="409"/>
      <c r="ID149" s="409"/>
      <c r="IE149" s="409"/>
      <c r="IF149" s="409"/>
      <c r="IG149" s="409"/>
      <c r="IH149" s="409"/>
      <c r="II149" s="409"/>
      <c r="IJ149" s="409"/>
      <c r="IK149" s="409"/>
      <c r="IL149" s="409"/>
      <c r="IM149" s="409"/>
      <c r="IN149" s="409"/>
      <c r="IO149" s="409"/>
      <c r="IP149" s="409"/>
      <c r="IQ149" s="409"/>
      <c r="IR149" s="409"/>
      <c r="IS149" s="409"/>
      <c r="IT149" s="409"/>
      <c r="IU149" s="409"/>
      <c r="IV149" s="409"/>
      <c r="IW149" s="409"/>
      <c r="IX149" s="409"/>
      <c r="IY149" s="409"/>
      <c r="IZ149" s="409"/>
      <c r="JA149" s="409"/>
      <c r="JB149" s="409"/>
      <c r="JC149" s="409"/>
      <c r="JD149" s="409"/>
      <c r="JE149" s="409"/>
      <c r="JF149" s="409"/>
      <c r="JG149" s="409"/>
      <c r="JH149" s="409"/>
      <c r="JI149" s="409"/>
      <c r="JJ149" s="409"/>
      <c r="JK149" s="409"/>
      <c r="JL149" s="409"/>
      <c r="JM149" s="409"/>
      <c r="JN149" s="409"/>
      <c r="JO149" s="409"/>
      <c r="JP149" s="409"/>
      <c r="JQ149" s="409"/>
      <c r="JR149" s="409"/>
      <c r="JS149" s="409"/>
      <c r="JT149" s="409"/>
      <c r="JU149" s="409"/>
      <c r="JV149" s="409"/>
      <c r="JW149" s="409"/>
      <c r="JX149" s="409"/>
      <c r="JY149" s="409"/>
      <c r="JZ149" s="409"/>
      <c r="KA149" s="409"/>
      <c r="KB149" s="409"/>
      <c r="KC149" s="409"/>
      <c r="KD149" s="409"/>
      <c r="KE149" s="409"/>
      <c r="KF149" s="409"/>
      <c r="KG149" s="409"/>
      <c r="KH149" s="409"/>
      <c r="KI149" s="409"/>
      <c r="KJ149" s="409"/>
      <c r="KK149" s="409"/>
      <c r="KL149" s="409"/>
      <c r="KM149" s="409"/>
      <c r="KN149" s="409"/>
      <c r="KO149" s="409"/>
      <c r="KP149" s="409"/>
      <c r="KQ149" s="409"/>
      <c r="KR149" s="409"/>
      <c r="KS149" s="409"/>
      <c r="KT149" s="409"/>
      <c r="KU149" s="409"/>
      <c r="KV149" s="409"/>
      <c r="KW149" s="409"/>
      <c r="KX149" s="409"/>
      <c r="KY149" s="409"/>
      <c r="KZ149" s="409"/>
      <c r="LA149" s="409"/>
      <c r="LB149" s="409"/>
      <c r="LC149" s="409"/>
      <c r="LD149" s="409"/>
      <c r="LE149" s="302"/>
      <c r="LF149" s="302"/>
      <c r="LG149" s="302"/>
      <c r="LH149" s="302"/>
      <c r="LI149" s="302"/>
      <c r="LJ149" s="302"/>
      <c r="LK149" s="302"/>
      <c r="LL149" s="302"/>
      <c r="LM149" s="302"/>
      <c r="LN149" s="302"/>
      <c r="LO149" s="302"/>
      <c r="LP149" s="302"/>
      <c r="LQ149" s="302"/>
      <c r="LR149" s="302"/>
      <c r="LS149" s="302"/>
      <c r="LT149" s="302"/>
      <c r="LU149" s="302"/>
      <c r="LV149" s="302"/>
      <c r="LW149" s="302"/>
      <c r="LX149" s="302"/>
      <c r="LY149" s="302"/>
      <c r="LZ149" s="302"/>
      <c r="MA149" s="302"/>
      <c r="MB149" s="302"/>
      <c r="MC149" s="302"/>
      <c r="MD149" s="302"/>
      <c r="ME149" s="302"/>
      <c r="MF149" s="302"/>
      <c r="MG149" s="302"/>
      <c r="MH149" s="302"/>
      <c r="MI149" s="302"/>
      <c r="MJ149" s="302"/>
      <c r="MK149" s="302"/>
      <c r="ML149" s="302"/>
      <c r="MM149" s="302"/>
      <c r="MN149" s="302"/>
      <c r="MO149" s="302"/>
      <c r="MP149" s="302"/>
      <c r="MQ149" s="302"/>
      <c r="MR149" s="302"/>
      <c r="MS149" s="302"/>
      <c r="MT149" s="302"/>
      <c r="MU149" s="302"/>
      <c r="MV149" s="302"/>
      <c r="MW149" s="302"/>
      <c r="MX149" s="302"/>
      <c r="MY149" s="302"/>
      <c r="MZ149" s="302"/>
      <c r="NA149" s="302"/>
      <c r="NB149" s="302"/>
      <c r="NC149" s="302"/>
      <c r="ND149" s="302"/>
      <c r="NE149" s="302"/>
      <c r="NF149" s="302"/>
      <c r="NG149" s="302"/>
      <c r="NH149" s="302"/>
      <c r="NI149" s="302"/>
      <c r="NJ149" s="302"/>
      <c r="NK149" s="302"/>
      <c r="NL149" s="302"/>
      <c r="NM149" s="302"/>
      <c r="NN149" s="302"/>
      <c r="NO149" s="302"/>
      <c r="NP149" s="302"/>
      <c r="NQ149" s="302"/>
      <c r="NR149" s="302"/>
      <c r="NS149" s="302"/>
      <c r="NT149" s="302"/>
      <c r="NU149" s="302"/>
      <c r="NV149" s="302"/>
      <c r="NW149" s="302"/>
      <c r="NX149" s="302"/>
      <c r="NY149" s="568"/>
      <c r="NZ149" s="568"/>
      <c r="OA149" s="575"/>
      <c r="OB149" s="575"/>
      <c r="OC149" s="578"/>
      <c r="OD149" s="578"/>
    </row>
    <row r="150" spans="1:394" s="292" customFormat="1" ht="22.5" customHeight="1">
      <c r="A150" s="290"/>
      <c r="B150" s="290"/>
      <c r="D150" s="82"/>
      <c r="E150" s="82"/>
      <c r="F150" s="82"/>
      <c r="G150" s="44"/>
      <c r="H150" s="67"/>
      <c r="K150" s="16"/>
      <c r="L150" s="16"/>
      <c r="M150" s="290"/>
      <c r="N150" s="290"/>
      <c r="O150" s="16"/>
      <c r="P150" s="290"/>
      <c r="Q150" s="290"/>
      <c r="R150" s="290"/>
      <c r="S150" s="290"/>
      <c r="T150" s="290"/>
      <c r="U150" s="290"/>
      <c r="V150" s="290"/>
      <c r="Z150" s="291"/>
      <c r="AA150" s="290"/>
      <c r="AB150" s="290"/>
      <c r="AC150" s="290"/>
      <c r="AD150" s="290"/>
      <c r="AE150" s="290"/>
      <c r="AF150" s="290"/>
      <c r="AG150" s="290"/>
      <c r="AH150" s="290"/>
      <c r="AI150" s="290"/>
      <c r="AJ150" s="290"/>
      <c r="AK150" s="290"/>
      <c r="AL150" s="16"/>
      <c r="AN150" s="291"/>
      <c r="AO150" s="291"/>
      <c r="AQ150" s="22"/>
      <c r="AR150" s="22"/>
      <c r="AS150" s="22"/>
      <c r="AT150" s="22"/>
      <c r="AU150" s="22"/>
      <c r="AV150" s="97"/>
      <c r="AW150" s="97"/>
      <c r="AX150" s="97"/>
      <c r="AY150" s="97"/>
      <c r="AZ150" s="97"/>
      <c r="BA150" s="97"/>
      <c r="BC150" s="290"/>
      <c r="BD150" s="290"/>
      <c r="BE150" s="290"/>
      <c r="BF150" s="290"/>
      <c r="BG150" s="290"/>
      <c r="BH150" s="290"/>
      <c r="BI150" s="290"/>
      <c r="BJ150" s="290"/>
      <c r="BK150" s="290"/>
      <c r="BL150" s="290"/>
      <c r="CN150" s="282"/>
      <c r="CO150" s="282"/>
      <c r="CP150" s="282"/>
      <c r="CZ150" s="409"/>
      <c r="DA150" s="409"/>
      <c r="DB150" s="409"/>
      <c r="DC150" s="409"/>
      <c r="DD150" s="409"/>
      <c r="DE150" s="409"/>
      <c r="DF150" s="409"/>
      <c r="DG150" s="409"/>
      <c r="DH150" s="409"/>
      <c r="DI150" s="409"/>
      <c r="DJ150" s="409"/>
      <c r="DK150" s="409"/>
      <c r="DL150" s="409"/>
      <c r="DM150" s="409"/>
      <c r="DN150" s="409"/>
      <c r="DO150" s="409"/>
      <c r="DP150" s="409"/>
      <c r="DQ150" s="409"/>
      <c r="DR150" s="409"/>
      <c r="DS150" s="409"/>
      <c r="DT150" s="409"/>
      <c r="DU150" s="409"/>
      <c r="DV150" s="409"/>
      <c r="DW150" s="409"/>
      <c r="DX150" s="409"/>
      <c r="DY150" s="409"/>
      <c r="DZ150" s="409"/>
      <c r="EA150" s="409"/>
      <c r="EB150" s="409"/>
      <c r="EC150" s="409"/>
      <c r="ED150" s="409"/>
      <c r="EE150" s="409"/>
      <c r="EF150" s="409"/>
      <c r="EG150" s="409"/>
      <c r="EH150" s="409"/>
      <c r="EI150" s="409"/>
      <c r="EJ150" s="409"/>
      <c r="EK150" s="409"/>
      <c r="EL150" s="409"/>
      <c r="EM150" s="409"/>
      <c r="EN150" s="409"/>
      <c r="EO150" s="409"/>
      <c r="EP150" s="409"/>
      <c r="EQ150" s="409"/>
      <c r="ER150" s="409"/>
      <c r="ES150" s="409"/>
      <c r="ET150" s="409"/>
      <c r="EU150" s="409"/>
      <c r="EV150" s="409"/>
      <c r="EW150" s="409"/>
      <c r="EX150" s="409"/>
      <c r="EY150" s="409"/>
      <c r="EZ150" s="409"/>
      <c r="FA150" s="409"/>
      <c r="FB150" s="409"/>
      <c r="FC150" s="409"/>
      <c r="FD150" s="409"/>
      <c r="FE150" s="409"/>
      <c r="FF150" s="409"/>
      <c r="FG150" s="409"/>
      <c r="FH150" s="409"/>
      <c r="FI150" s="409"/>
      <c r="FJ150" s="409"/>
      <c r="FK150" s="409"/>
      <c r="FL150" s="409"/>
      <c r="FM150" s="409"/>
      <c r="FN150" s="409"/>
      <c r="FO150" s="409"/>
      <c r="FP150" s="409"/>
      <c r="FQ150" s="409"/>
      <c r="FR150" s="409"/>
      <c r="FS150" s="409"/>
      <c r="FT150" s="409"/>
      <c r="FU150" s="409"/>
      <c r="FV150" s="409"/>
      <c r="FW150" s="409"/>
      <c r="FX150" s="409"/>
      <c r="FY150" s="409"/>
      <c r="FZ150" s="409"/>
      <c r="GA150" s="409"/>
      <c r="GB150" s="409"/>
      <c r="GC150" s="409"/>
      <c r="GD150" s="409"/>
      <c r="GE150" s="409"/>
      <c r="GF150" s="409"/>
      <c r="GG150" s="409"/>
      <c r="GH150" s="409"/>
      <c r="GI150" s="409"/>
      <c r="GJ150" s="409"/>
      <c r="GK150" s="409"/>
      <c r="GL150" s="409"/>
      <c r="GM150" s="409"/>
      <c r="GN150" s="409"/>
      <c r="GO150" s="409"/>
      <c r="GP150" s="409"/>
      <c r="GQ150" s="409"/>
      <c r="GR150" s="409"/>
      <c r="GS150" s="409"/>
      <c r="GT150" s="409"/>
      <c r="GU150" s="409"/>
      <c r="GV150" s="409"/>
      <c r="GW150" s="409"/>
      <c r="GX150" s="409"/>
      <c r="GY150" s="409"/>
      <c r="GZ150" s="409"/>
      <c r="HA150" s="409"/>
      <c r="HB150" s="409"/>
      <c r="HC150" s="409"/>
      <c r="HD150" s="409"/>
      <c r="HE150" s="409"/>
      <c r="HF150" s="409"/>
      <c r="HG150" s="409"/>
      <c r="HH150" s="409"/>
      <c r="HI150" s="409"/>
      <c r="HJ150" s="409"/>
      <c r="HK150" s="409"/>
      <c r="HL150" s="409"/>
      <c r="HM150" s="409"/>
      <c r="HN150" s="409"/>
      <c r="HO150" s="409"/>
      <c r="HP150" s="409"/>
      <c r="HQ150" s="409"/>
      <c r="HR150" s="409"/>
      <c r="HS150" s="409"/>
      <c r="HT150" s="409"/>
      <c r="HU150" s="409"/>
      <c r="HV150" s="409"/>
      <c r="HW150" s="409"/>
      <c r="HX150" s="409"/>
      <c r="HY150" s="409"/>
      <c r="HZ150" s="409"/>
      <c r="IA150" s="409"/>
      <c r="IB150" s="409"/>
      <c r="IC150" s="409"/>
      <c r="ID150" s="409"/>
      <c r="IE150" s="409"/>
      <c r="IF150" s="409"/>
      <c r="IG150" s="409"/>
      <c r="IH150" s="409"/>
      <c r="II150" s="409"/>
      <c r="IJ150" s="409"/>
      <c r="IK150" s="409"/>
      <c r="IL150" s="409"/>
      <c r="IM150" s="409"/>
      <c r="IN150" s="409"/>
      <c r="IO150" s="409"/>
      <c r="IP150" s="409"/>
      <c r="IQ150" s="409"/>
      <c r="IR150" s="409"/>
      <c r="IS150" s="409"/>
      <c r="IT150" s="409"/>
      <c r="IU150" s="409"/>
      <c r="IV150" s="409"/>
      <c r="IW150" s="409"/>
      <c r="IX150" s="409"/>
      <c r="IY150" s="409"/>
      <c r="IZ150" s="409"/>
      <c r="JA150" s="409"/>
      <c r="JB150" s="409"/>
      <c r="JC150" s="409"/>
      <c r="JD150" s="409"/>
      <c r="JE150" s="409"/>
      <c r="JF150" s="409"/>
      <c r="JG150" s="409"/>
      <c r="JH150" s="409"/>
      <c r="JI150" s="409"/>
      <c r="JJ150" s="409"/>
      <c r="JK150" s="409"/>
      <c r="JL150" s="409"/>
      <c r="JM150" s="409"/>
      <c r="JN150" s="409"/>
      <c r="JO150" s="409"/>
      <c r="JP150" s="409"/>
      <c r="JQ150" s="409"/>
      <c r="JR150" s="409"/>
      <c r="JS150" s="409"/>
      <c r="JT150" s="409"/>
      <c r="JU150" s="409"/>
      <c r="JV150" s="409"/>
      <c r="JW150" s="409"/>
      <c r="JX150" s="409"/>
      <c r="JY150" s="409"/>
      <c r="JZ150" s="409"/>
      <c r="KA150" s="409"/>
      <c r="KB150" s="409"/>
      <c r="KC150" s="409"/>
      <c r="KD150" s="409"/>
      <c r="KE150" s="409"/>
      <c r="KF150" s="409"/>
      <c r="KG150" s="409"/>
      <c r="KH150" s="409"/>
      <c r="KI150" s="409"/>
      <c r="KJ150" s="409"/>
      <c r="KK150" s="409"/>
      <c r="KL150" s="409"/>
      <c r="KM150" s="409"/>
      <c r="KN150" s="409"/>
      <c r="KO150" s="409"/>
      <c r="KP150" s="409"/>
      <c r="KQ150" s="409"/>
      <c r="KR150" s="409"/>
      <c r="KS150" s="409"/>
      <c r="KT150" s="409"/>
      <c r="KU150" s="409"/>
      <c r="KV150" s="409"/>
      <c r="KW150" s="409"/>
      <c r="KX150" s="409"/>
      <c r="KY150" s="409"/>
      <c r="KZ150" s="409"/>
      <c r="LA150" s="409"/>
      <c r="LB150" s="409"/>
      <c r="LC150" s="409"/>
      <c r="LD150" s="409"/>
      <c r="LE150" s="302"/>
      <c r="LF150" s="302"/>
      <c r="LG150" s="302"/>
      <c r="LH150" s="302"/>
      <c r="LI150" s="302"/>
      <c r="LJ150" s="302"/>
      <c r="LK150" s="302"/>
      <c r="LL150" s="302"/>
      <c r="LM150" s="302"/>
      <c r="LN150" s="302"/>
      <c r="LO150" s="302"/>
      <c r="LP150" s="302"/>
      <c r="LQ150" s="302"/>
      <c r="LR150" s="302"/>
      <c r="LS150" s="302"/>
      <c r="LT150" s="302"/>
      <c r="LU150" s="302"/>
      <c r="LV150" s="302"/>
      <c r="LW150" s="302"/>
      <c r="LX150" s="302"/>
      <c r="LY150" s="302"/>
      <c r="LZ150" s="302"/>
      <c r="MA150" s="302"/>
      <c r="MB150" s="302"/>
      <c r="MC150" s="302"/>
      <c r="MD150" s="302"/>
      <c r="ME150" s="302"/>
      <c r="MF150" s="302"/>
      <c r="MG150" s="302"/>
      <c r="MH150" s="302"/>
      <c r="MI150" s="302"/>
      <c r="MJ150" s="302"/>
      <c r="MK150" s="302"/>
      <c r="ML150" s="302"/>
      <c r="MM150" s="302"/>
      <c r="MN150" s="302"/>
      <c r="MO150" s="302"/>
      <c r="MP150" s="302"/>
      <c r="MQ150" s="302"/>
      <c r="MR150" s="302"/>
      <c r="MS150" s="302"/>
      <c r="MT150" s="302"/>
      <c r="MU150" s="302"/>
      <c r="MV150" s="302"/>
      <c r="MW150" s="302"/>
      <c r="MX150" s="302"/>
      <c r="MY150" s="302"/>
      <c r="MZ150" s="302"/>
      <c r="NA150" s="302"/>
      <c r="NB150" s="302"/>
      <c r="NC150" s="302"/>
      <c r="ND150" s="302"/>
      <c r="NE150" s="302"/>
      <c r="NF150" s="302"/>
      <c r="NG150" s="302"/>
      <c r="NH150" s="302"/>
      <c r="NI150" s="302"/>
      <c r="NJ150" s="302"/>
      <c r="NK150" s="302"/>
      <c r="NL150" s="302"/>
      <c r="NM150" s="302"/>
      <c r="NN150" s="302"/>
      <c r="NO150" s="302"/>
      <c r="NP150" s="302"/>
      <c r="NQ150" s="302"/>
      <c r="NR150" s="302"/>
      <c r="NS150" s="302"/>
      <c r="NT150" s="302"/>
      <c r="NU150" s="302"/>
      <c r="NV150" s="302"/>
      <c r="NW150" s="302"/>
      <c r="NX150" s="302"/>
      <c r="NY150" s="568"/>
      <c r="NZ150" s="568"/>
      <c r="OA150" s="575"/>
      <c r="OB150" s="575"/>
      <c r="OC150" s="578"/>
      <c r="OD150" s="578"/>
    </row>
    <row r="151" spans="1:394" s="292" customFormat="1" ht="22.5" customHeight="1">
      <c r="A151" s="290"/>
      <c r="B151" s="290"/>
      <c r="D151" s="82"/>
      <c r="E151" s="82"/>
      <c r="F151" s="82"/>
      <c r="G151" s="44"/>
      <c r="H151" s="67"/>
      <c r="K151" s="16"/>
      <c r="L151" s="16"/>
      <c r="M151" s="290"/>
      <c r="N151" s="290"/>
      <c r="O151" s="16"/>
      <c r="P151" s="290"/>
      <c r="Q151" s="290"/>
      <c r="R151" s="290"/>
      <c r="S151" s="290"/>
      <c r="T151" s="290"/>
      <c r="U151" s="290"/>
      <c r="V151" s="290"/>
      <c r="Z151" s="291"/>
      <c r="AA151" s="290"/>
      <c r="AB151" s="290"/>
      <c r="AC151" s="290"/>
      <c r="AD151" s="290"/>
      <c r="AE151" s="290"/>
      <c r="AF151" s="290"/>
      <c r="AG151" s="290"/>
      <c r="AH151" s="290"/>
      <c r="AI151" s="290"/>
      <c r="AJ151" s="290"/>
      <c r="AK151" s="290"/>
      <c r="AL151" s="16"/>
      <c r="AN151" s="291"/>
      <c r="AO151" s="291"/>
      <c r="AQ151" s="22"/>
      <c r="AR151" s="22"/>
      <c r="AS151" s="22"/>
      <c r="AT151" s="22"/>
      <c r="AU151" s="22"/>
      <c r="AV151" s="97"/>
      <c r="AW151" s="97"/>
      <c r="AX151" s="97"/>
      <c r="AY151" s="97"/>
      <c r="AZ151" s="97"/>
      <c r="BA151" s="97"/>
      <c r="BC151" s="290"/>
      <c r="BD151" s="290"/>
      <c r="BE151" s="290"/>
      <c r="BF151" s="290"/>
      <c r="BG151" s="290"/>
      <c r="BH151" s="290"/>
      <c r="BI151" s="290"/>
      <c r="BJ151" s="290"/>
      <c r="BK151" s="290"/>
      <c r="BL151" s="290"/>
      <c r="CN151" s="282"/>
      <c r="CO151" s="282"/>
      <c r="CP151" s="282"/>
      <c r="CZ151" s="409"/>
      <c r="DA151" s="409"/>
      <c r="DB151" s="409"/>
      <c r="DC151" s="409"/>
      <c r="DD151" s="409"/>
      <c r="DE151" s="409"/>
      <c r="DF151" s="409"/>
      <c r="DG151" s="409"/>
      <c r="DH151" s="409"/>
      <c r="DI151" s="409"/>
      <c r="DJ151" s="409"/>
      <c r="DK151" s="409"/>
      <c r="DL151" s="409"/>
      <c r="DM151" s="409"/>
      <c r="DN151" s="409"/>
      <c r="DO151" s="409"/>
      <c r="DP151" s="409"/>
      <c r="DQ151" s="409"/>
      <c r="DR151" s="409"/>
      <c r="DS151" s="409"/>
      <c r="DT151" s="409"/>
      <c r="DU151" s="409"/>
      <c r="DV151" s="409"/>
      <c r="DW151" s="409"/>
      <c r="DX151" s="409"/>
      <c r="DY151" s="409"/>
      <c r="DZ151" s="409"/>
      <c r="EA151" s="409"/>
      <c r="EB151" s="409"/>
      <c r="EC151" s="409"/>
      <c r="ED151" s="409"/>
      <c r="EE151" s="409"/>
      <c r="EF151" s="409"/>
      <c r="EG151" s="409"/>
      <c r="EH151" s="409"/>
      <c r="EI151" s="409"/>
      <c r="EJ151" s="409"/>
      <c r="EK151" s="409"/>
      <c r="EL151" s="409"/>
      <c r="EM151" s="409"/>
      <c r="EN151" s="409"/>
      <c r="EO151" s="409"/>
      <c r="EP151" s="409"/>
      <c r="EQ151" s="409"/>
      <c r="ER151" s="409"/>
      <c r="ES151" s="409"/>
      <c r="ET151" s="409"/>
      <c r="EU151" s="409"/>
      <c r="EV151" s="409"/>
      <c r="EW151" s="409"/>
      <c r="EX151" s="409"/>
      <c r="EY151" s="409"/>
      <c r="EZ151" s="409"/>
      <c r="FA151" s="409"/>
      <c r="FB151" s="409"/>
      <c r="FC151" s="409"/>
      <c r="FD151" s="409"/>
      <c r="FE151" s="409"/>
      <c r="FF151" s="409"/>
      <c r="FG151" s="409"/>
      <c r="FH151" s="409"/>
      <c r="FI151" s="409"/>
      <c r="FJ151" s="409"/>
      <c r="FK151" s="409"/>
      <c r="FL151" s="409"/>
      <c r="FM151" s="409"/>
      <c r="FN151" s="409"/>
      <c r="FO151" s="409"/>
      <c r="FP151" s="409"/>
      <c r="FQ151" s="409"/>
      <c r="FR151" s="409"/>
      <c r="FS151" s="409"/>
      <c r="FT151" s="409"/>
      <c r="FU151" s="409"/>
      <c r="FV151" s="409"/>
      <c r="FW151" s="409"/>
      <c r="FX151" s="409"/>
      <c r="FY151" s="409"/>
      <c r="FZ151" s="409"/>
      <c r="GA151" s="409"/>
      <c r="GB151" s="409"/>
      <c r="GC151" s="409"/>
      <c r="GD151" s="409"/>
      <c r="GE151" s="409"/>
      <c r="GF151" s="409"/>
      <c r="GG151" s="409"/>
      <c r="GH151" s="409"/>
      <c r="GI151" s="409"/>
      <c r="GJ151" s="409"/>
      <c r="GK151" s="409"/>
      <c r="GL151" s="409"/>
      <c r="GM151" s="409"/>
      <c r="GN151" s="409"/>
      <c r="GO151" s="409"/>
      <c r="GP151" s="409"/>
      <c r="GQ151" s="409"/>
      <c r="GR151" s="409"/>
      <c r="GS151" s="409"/>
      <c r="GT151" s="409"/>
      <c r="GU151" s="409"/>
      <c r="GV151" s="409"/>
      <c r="GW151" s="409"/>
      <c r="GX151" s="409"/>
      <c r="GY151" s="409"/>
      <c r="GZ151" s="409"/>
      <c r="HA151" s="409"/>
      <c r="HB151" s="409"/>
      <c r="HC151" s="409"/>
      <c r="HD151" s="409"/>
      <c r="HE151" s="409"/>
      <c r="HF151" s="409"/>
      <c r="HG151" s="409"/>
      <c r="HH151" s="409"/>
      <c r="HI151" s="409"/>
      <c r="HJ151" s="409"/>
      <c r="HK151" s="409"/>
      <c r="HL151" s="409"/>
      <c r="HM151" s="409"/>
      <c r="HN151" s="409"/>
      <c r="HO151" s="409"/>
      <c r="HP151" s="409"/>
      <c r="HQ151" s="409"/>
      <c r="HR151" s="409"/>
      <c r="HS151" s="409"/>
      <c r="HT151" s="409"/>
      <c r="HU151" s="409"/>
      <c r="HV151" s="409"/>
      <c r="HW151" s="409"/>
      <c r="HX151" s="409"/>
      <c r="HY151" s="409"/>
      <c r="HZ151" s="409"/>
      <c r="IA151" s="409"/>
      <c r="IB151" s="409"/>
      <c r="IC151" s="409"/>
      <c r="ID151" s="409"/>
      <c r="IE151" s="409"/>
      <c r="IF151" s="409"/>
      <c r="IG151" s="409"/>
      <c r="IH151" s="409"/>
      <c r="II151" s="409"/>
      <c r="IJ151" s="409"/>
      <c r="IK151" s="409"/>
      <c r="IL151" s="409"/>
      <c r="IM151" s="409"/>
      <c r="IN151" s="409"/>
      <c r="IO151" s="409"/>
      <c r="IP151" s="409"/>
      <c r="IQ151" s="409"/>
      <c r="IR151" s="409"/>
      <c r="IS151" s="409"/>
      <c r="IT151" s="409"/>
      <c r="IU151" s="409"/>
      <c r="IV151" s="409"/>
      <c r="IW151" s="409"/>
      <c r="IX151" s="409"/>
      <c r="IY151" s="409"/>
      <c r="IZ151" s="409"/>
      <c r="JA151" s="409"/>
      <c r="JB151" s="409"/>
      <c r="JC151" s="409"/>
      <c r="JD151" s="409"/>
      <c r="JE151" s="409"/>
      <c r="JF151" s="409"/>
      <c r="JG151" s="409"/>
      <c r="JH151" s="409"/>
      <c r="JI151" s="409"/>
      <c r="JJ151" s="409"/>
      <c r="JK151" s="409"/>
      <c r="JL151" s="409"/>
      <c r="JM151" s="409"/>
      <c r="JN151" s="409"/>
      <c r="JO151" s="409"/>
      <c r="JP151" s="409"/>
      <c r="JQ151" s="409"/>
      <c r="JR151" s="409"/>
      <c r="JS151" s="409"/>
      <c r="JT151" s="409"/>
      <c r="JU151" s="409"/>
      <c r="JV151" s="409"/>
      <c r="JW151" s="409"/>
      <c r="JX151" s="409"/>
      <c r="JY151" s="409"/>
      <c r="JZ151" s="409"/>
      <c r="KA151" s="409"/>
      <c r="KB151" s="409"/>
      <c r="KC151" s="409"/>
      <c r="KD151" s="409"/>
      <c r="KE151" s="409"/>
      <c r="KF151" s="409"/>
      <c r="KG151" s="409"/>
      <c r="KH151" s="409"/>
      <c r="KI151" s="409"/>
      <c r="KJ151" s="409"/>
      <c r="KK151" s="409"/>
      <c r="KL151" s="409"/>
      <c r="KM151" s="409"/>
      <c r="KN151" s="409"/>
      <c r="KO151" s="409"/>
      <c r="KP151" s="409"/>
      <c r="KQ151" s="409"/>
      <c r="KR151" s="409"/>
      <c r="KS151" s="409"/>
      <c r="KT151" s="409"/>
      <c r="KU151" s="409"/>
      <c r="KV151" s="409"/>
      <c r="KW151" s="409"/>
      <c r="KX151" s="409"/>
      <c r="KY151" s="409"/>
      <c r="KZ151" s="409"/>
      <c r="LA151" s="409"/>
      <c r="LB151" s="409"/>
      <c r="LC151" s="409"/>
      <c r="LD151" s="409"/>
      <c r="LE151" s="302"/>
      <c r="LF151" s="302"/>
      <c r="LG151" s="302"/>
      <c r="LH151" s="302"/>
      <c r="LI151" s="302"/>
      <c r="LJ151" s="302"/>
      <c r="LK151" s="302"/>
      <c r="LL151" s="302"/>
      <c r="LM151" s="302"/>
      <c r="LN151" s="302"/>
      <c r="LO151" s="302"/>
      <c r="LP151" s="302"/>
      <c r="LQ151" s="302"/>
      <c r="LR151" s="302"/>
      <c r="LS151" s="302"/>
      <c r="LT151" s="302"/>
      <c r="LU151" s="302"/>
      <c r="LV151" s="302"/>
      <c r="LW151" s="302"/>
      <c r="LX151" s="302"/>
      <c r="LY151" s="302"/>
      <c r="LZ151" s="302"/>
      <c r="MA151" s="302"/>
      <c r="MB151" s="302"/>
      <c r="MC151" s="302"/>
      <c r="MD151" s="302"/>
      <c r="ME151" s="302"/>
      <c r="MF151" s="302"/>
      <c r="MG151" s="302"/>
      <c r="MH151" s="302"/>
      <c r="MI151" s="302"/>
      <c r="MJ151" s="302"/>
      <c r="MK151" s="302"/>
      <c r="ML151" s="302"/>
      <c r="MM151" s="302"/>
      <c r="MN151" s="302"/>
      <c r="MO151" s="302"/>
      <c r="MP151" s="302"/>
      <c r="MQ151" s="302"/>
      <c r="MR151" s="302"/>
      <c r="MS151" s="302"/>
      <c r="MT151" s="302"/>
      <c r="MU151" s="302"/>
      <c r="MV151" s="302"/>
      <c r="MW151" s="302"/>
      <c r="MX151" s="302"/>
      <c r="MY151" s="302"/>
      <c r="MZ151" s="302"/>
      <c r="NA151" s="302"/>
      <c r="NB151" s="302"/>
      <c r="NC151" s="302"/>
      <c r="ND151" s="302"/>
      <c r="NE151" s="302"/>
      <c r="NF151" s="302"/>
      <c r="NG151" s="302"/>
      <c r="NH151" s="302"/>
      <c r="NI151" s="302"/>
      <c r="NJ151" s="302"/>
      <c r="NK151" s="302"/>
      <c r="NL151" s="302"/>
      <c r="NM151" s="302"/>
      <c r="NN151" s="302"/>
      <c r="NO151" s="302"/>
      <c r="NP151" s="302"/>
      <c r="NQ151" s="302"/>
      <c r="NR151" s="302"/>
      <c r="NS151" s="302"/>
      <c r="NT151" s="302"/>
      <c r="NU151" s="302"/>
      <c r="NV151" s="302"/>
      <c r="NW151" s="302"/>
      <c r="NX151" s="302"/>
      <c r="NY151" s="568"/>
      <c r="NZ151" s="568"/>
      <c r="OA151" s="575"/>
      <c r="OB151" s="575"/>
      <c r="OC151" s="578"/>
      <c r="OD151" s="578"/>
    </row>
    <row r="152" spans="1:394" s="292" customFormat="1" ht="22.5" customHeight="1">
      <c r="A152" s="290"/>
      <c r="B152" s="290"/>
      <c r="D152" s="82"/>
      <c r="E152" s="82"/>
      <c r="F152" s="82"/>
      <c r="G152" s="44"/>
      <c r="H152" s="67"/>
      <c r="K152" s="16"/>
      <c r="L152" s="16"/>
      <c r="M152" s="290"/>
      <c r="N152" s="290"/>
      <c r="O152" s="16"/>
      <c r="P152" s="290"/>
      <c r="Q152" s="290"/>
      <c r="R152" s="290"/>
      <c r="S152" s="290"/>
      <c r="T152" s="290"/>
      <c r="U152" s="290"/>
      <c r="V152" s="290"/>
      <c r="Z152" s="291"/>
      <c r="AA152" s="290"/>
      <c r="AB152" s="290"/>
      <c r="AC152" s="290"/>
      <c r="AD152" s="290"/>
      <c r="AE152" s="290"/>
      <c r="AF152" s="290"/>
      <c r="AG152" s="290"/>
      <c r="AH152" s="290"/>
      <c r="AI152" s="290"/>
      <c r="AJ152" s="290"/>
      <c r="AK152" s="290"/>
      <c r="AL152" s="16"/>
      <c r="AN152" s="291"/>
      <c r="AO152" s="291"/>
      <c r="AQ152" s="22"/>
      <c r="AR152" s="22"/>
      <c r="AS152" s="22"/>
      <c r="AT152" s="22"/>
      <c r="AU152" s="22"/>
      <c r="AV152" s="97"/>
      <c r="AW152" s="97"/>
      <c r="AX152" s="97"/>
      <c r="AY152" s="97"/>
      <c r="AZ152" s="97"/>
      <c r="BA152" s="97"/>
      <c r="BC152" s="290"/>
      <c r="BD152" s="290"/>
      <c r="BE152" s="290"/>
      <c r="BF152" s="290"/>
      <c r="BG152" s="290"/>
      <c r="BH152" s="290"/>
      <c r="BI152" s="290"/>
      <c r="BJ152" s="290"/>
      <c r="BK152" s="290"/>
      <c r="BL152" s="290"/>
      <c r="CN152" s="282"/>
      <c r="CO152" s="282"/>
      <c r="CP152" s="282"/>
      <c r="CZ152" s="409"/>
      <c r="DA152" s="409"/>
      <c r="DB152" s="409"/>
      <c r="DC152" s="409"/>
      <c r="DD152" s="409"/>
      <c r="DE152" s="409"/>
      <c r="DF152" s="409"/>
      <c r="DG152" s="409"/>
      <c r="DH152" s="409"/>
      <c r="DI152" s="409"/>
      <c r="DJ152" s="409"/>
      <c r="DK152" s="409"/>
      <c r="DL152" s="409"/>
      <c r="DM152" s="409"/>
      <c r="DN152" s="409"/>
      <c r="DO152" s="409"/>
      <c r="DP152" s="409"/>
      <c r="DQ152" s="409"/>
      <c r="DR152" s="409"/>
      <c r="DS152" s="409"/>
      <c r="DT152" s="409"/>
      <c r="DU152" s="409"/>
      <c r="DV152" s="409"/>
      <c r="DW152" s="409"/>
      <c r="DX152" s="409"/>
      <c r="DY152" s="409"/>
      <c r="DZ152" s="409"/>
      <c r="EA152" s="409"/>
      <c r="EB152" s="409"/>
      <c r="EC152" s="409"/>
      <c r="ED152" s="409"/>
      <c r="EE152" s="409"/>
      <c r="EF152" s="409"/>
      <c r="EG152" s="409"/>
      <c r="EH152" s="409"/>
      <c r="EI152" s="409"/>
      <c r="EJ152" s="409"/>
      <c r="EK152" s="409"/>
      <c r="EL152" s="409"/>
      <c r="EM152" s="409"/>
      <c r="EN152" s="409"/>
      <c r="EO152" s="409"/>
      <c r="EP152" s="409"/>
      <c r="EQ152" s="409"/>
      <c r="ER152" s="409"/>
      <c r="ES152" s="409"/>
      <c r="ET152" s="409"/>
      <c r="EU152" s="409"/>
      <c r="EV152" s="409"/>
      <c r="EW152" s="409"/>
      <c r="EX152" s="409"/>
      <c r="EY152" s="409"/>
      <c r="EZ152" s="409"/>
      <c r="FA152" s="409"/>
      <c r="FB152" s="409"/>
      <c r="FC152" s="409"/>
      <c r="FD152" s="409"/>
      <c r="FE152" s="409"/>
      <c r="FF152" s="409"/>
      <c r="FG152" s="409"/>
      <c r="FH152" s="409"/>
      <c r="FI152" s="409"/>
      <c r="FJ152" s="409"/>
      <c r="FK152" s="409"/>
      <c r="FL152" s="409"/>
      <c r="FM152" s="409"/>
      <c r="FN152" s="409"/>
      <c r="FO152" s="409"/>
      <c r="FP152" s="409"/>
      <c r="FQ152" s="409"/>
      <c r="FR152" s="409"/>
      <c r="FS152" s="409"/>
      <c r="FT152" s="409"/>
      <c r="FU152" s="409"/>
      <c r="FV152" s="409"/>
      <c r="FW152" s="409"/>
      <c r="FX152" s="409"/>
      <c r="FY152" s="409"/>
      <c r="FZ152" s="409"/>
      <c r="GA152" s="409"/>
      <c r="GB152" s="409"/>
      <c r="GC152" s="409"/>
      <c r="GD152" s="409"/>
      <c r="GE152" s="409"/>
      <c r="GF152" s="409"/>
      <c r="GG152" s="409"/>
      <c r="GH152" s="409"/>
      <c r="GI152" s="409"/>
      <c r="GJ152" s="409"/>
      <c r="GK152" s="409"/>
      <c r="GL152" s="409"/>
      <c r="GM152" s="409"/>
      <c r="GN152" s="409"/>
      <c r="GO152" s="409"/>
      <c r="GP152" s="409"/>
      <c r="GQ152" s="409"/>
      <c r="GR152" s="409"/>
      <c r="GS152" s="409"/>
      <c r="GT152" s="409"/>
      <c r="GU152" s="409"/>
      <c r="GV152" s="409"/>
      <c r="GW152" s="409"/>
      <c r="GX152" s="409"/>
      <c r="GY152" s="409"/>
      <c r="GZ152" s="409"/>
      <c r="HA152" s="409"/>
      <c r="HB152" s="409"/>
      <c r="HC152" s="409"/>
      <c r="HD152" s="409"/>
      <c r="HE152" s="409"/>
      <c r="HF152" s="409"/>
      <c r="HG152" s="409"/>
      <c r="HH152" s="409"/>
      <c r="HI152" s="409"/>
      <c r="HJ152" s="409"/>
      <c r="HK152" s="409"/>
      <c r="HL152" s="409"/>
      <c r="HM152" s="409"/>
      <c r="HN152" s="409"/>
      <c r="HO152" s="409"/>
      <c r="HP152" s="409"/>
      <c r="HQ152" s="409"/>
      <c r="HR152" s="409"/>
      <c r="HS152" s="409"/>
      <c r="HT152" s="409"/>
      <c r="HU152" s="409"/>
      <c r="HV152" s="409"/>
      <c r="HW152" s="409"/>
      <c r="HX152" s="409"/>
      <c r="HY152" s="409"/>
      <c r="HZ152" s="409"/>
      <c r="IA152" s="409"/>
      <c r="IB152" s="409"/>
      <c r="IC152" s="409"/>
      <c r="ID152" s="409"/>
      <c r="IE152" s="409"/>
      <c r="IF152" s="409"/>
      <c r="IG152" s="409"/>
      <c r="IH152" s="409"/>
      <c r="II152" s="409"/>
      <c r="IJ152" s="409"/>
      <c r="IK152" s="409"/>
      <c r="IL152" s="409"/>
      <c r="IM152" s="409"/>
      <c r="IN152" s="409"/>
      <c r="IO152" s="409"/>
      <c r="IP152" s="409"/>
      <c r="IQ152" s="409"/>
      <c r="IR152" s="409"/>
      <c r="IS152" s="409"/>
      <c r="IT152" s="409"/>
      <c r="IU152" s="409"/>
      <c r="IV152" s="409"/>
      <c r="IW152" s="409"/>
      <c r="IX152" s="409"/>
      <c r="IY152" s="409"/>
      <c r="IZ152" s="409"/>
      <c r="JA152" s="409"/>
      <c r="JB152" s="409"/>
      <c r="JC152" s="409"/>
      <c r="JD152" s="409"/>
      <c r="JE152" s="409"/>
      <c r="JF152" s="409"/>
      <c r="JG152" s="409"/>
      <c r="JH152" s="409"/>
      <c r="JI152" s="409"/>
      <c r="JJ152" s="409"/>
      <c r="JK152" s="409"/>
      <c r="JL152" s="409"/>
      <c r="JM152" s="409"/>
      <c r="JN152" s="409"/>
      <c r="JO152" s="409"/>
      <c r="JP152" s="409"/>
      <c r="JQ152" s="409"/>
      <c r="JR152" s="409"/>
      <c r="JS152" s="409"/>
      <c r="JT152" s="409"/>
      <c r="JU152" s="409"/>
      <c r="JV152" s="409"/>
      <c r="JW152" s="409"/>
      <c r="JX152" s="409"/>
      <c r="JY152" s="409"/>
      <c r="JZ152" s="409"/>
      <c r="KA152" s="409"/>
      <c r="KB152" s="409"/>
      <c r="KC152" s="409"/>
      <c r="KD152" s="409"/>
      <c r="KE152" s="409"/>
      <c r="KF152" s="409"/>
      <c r="KG152" s="409"/>
      <c r="KH152" s="409"/>
      <c r="KI152" s="409"/>
      <c r="KJ152" s="409"/>
      <c r="KK152" s="409"/>
      <c r="KL152" s="409"/>
      <c r="KM152" s="409"/>
      <c r="KN152" s="409"/>
      <c r="KO152" s="409"/>
      <c r="KP152" s="409"/>
      <c r="KQ152" s="409"/>
      <c r="KR152" s="409"/>
      <c r="KS152" s="409"/>
      <c r="KT152" s="409"/>
      <c r="KU152" s="409"/>
      <c r="KV152" s="409"/>
      <c r="KW152" s="409"/>
      <c r="KX152" s="409"/>
      <c r="KY152" s="409"/>
      <c r="KZ152" s="409"/>
      <c r="LA152" s="409"/>
      <c r="LB152" s="409"/>
      <c r="LC152" s="409"/>
      <c r="LD152" s="409"/>
      <c r="LE152" s="302"/>
      <c r="LF152" s="302"/>
      <c r="LG152" s="302"/>
      <c r="LH152" s="302"/>
      <c r="LI152" s="302"/>
      <c r="LJ152" s="302"/>
      <c r="LK152" s="302"/>
      <c r="LL152" s="302"/>
      <c r="LM152" s="302"/>
      <c r="LN152" s="302"/>
      <c r="LO152" s="302"/>
      <c r="LP152" s="302"/>
      <c r="LQ152" s="302"/>
      <c r="LR152" s="302"/>
      <c r="LS152" s="302"/>
      <c r="LT152" s="302"/>
      <c r="LU152" s="302"/>
      <c r="LV152" s="302"/>
      <c r="LW152" s="302"/>
      <c r="LX152" s="302"/>
      <c r="LY152" s="302"/>
      <c r="LZ152" s="302"/>
      <c r="MA152" s="302"/>
      <c r="MB152" s="302"/>
      <c r="MC152" s="302"/>
      <c r="MD152" s="302"/>
      <c r="ME152" s="302"/>
      <c r="MF152" s="302"/>
      <c r="MG152" s="302"/>
      <c r="MH152" s="302"/>
      <c r="MI152" s="302"/>
      <c r="MJ152" s="302"/>
      <c r="MK152" s="302"/>
      <c r="ML152" s="302"/>
      <c r="MM152" s="302"/>
      <c r="MN152" s="302"/>
      <c r="MO152" s="302"/>
      <c r="MP152" s="302"/>
      <c r="MQ152" s="302"/>
      <c r="MR152" s="302"/>
      <c r="MS152" s="302"/>
      <c r="MT152" s="302"/>
      <c r="MU152" s="302"/>
      <c r="MV152" s="302"/>
      <c r="MW152" s="302"/>
      <c r="MX152" s="302"/>
      <c r="MY152" s="302"/>
      <c r="MZ152" s="302"/>
      <c r="NA152" s="302"/>
      <c r="NB152" s="302"/>
      <c r="NC152" s="302"/>
      <c r="ND152" s="302"/>
      <c r="NE152" s="302"/>
      <c r="NF152" s="302"/>
      <c r="NG152" s="302"/>
      <c r="NH152" s="302"/>
      <c r="NI152" s="302"/>
      <c r="NJ152" s="302"/>
      <c r="NK152" s="302"/>
      <c r="NL152" s="302"/>
      <c r="NM152" s="302"/>
      <c r="NN152" s="302"/>
      <c r="NO152" s="302"/>
      <c r="NP152" s="302"/>
      <c r="NQ152" s="302"/>
      <c r="NR152" s="302"/>
      <c r="NS152" s="302"/>
      <c r="NT152" s="302"/>
      <c r="NU152" s="302"/>
      <c r="NV152" s="302"/>
      <c r="NW152" s="302"/>
      <c r="NX152" s="302"/>
      <c r="NY152" s="568"/>
      <c r="NZ152" s="568"/>
      <c r="OA152" s="575"/>
      <c r="OB152" s="575"/>
      <c r="OC152" s="578"/>
      <c r="OD152" s="578"/>
    </row>
    <row r="153" spans="1:394" s="292" customFormat="1" ht="22.5" customHeight="1">
      <c r="A153" s="290"/>
      <c r="B153" s="290"/>
      <c r="D153" s="82"/>
      <c r="E153" s="82"/>
      <c r="F153" s="82"/>
      <c r="G153" s="44"/>
      <c r="H153" s="67"/>
      <c r="K153" s="16"/>
      <c r="L153" s="16"/>
      <c r="M153" s="290"/>
      <c r="N153" s="290"/>
      <c r="O153" s="16"/>
      <c r="P153" s="290"/>
      <c r="Q153" s="290"/>
      <c r="R153" s="290"/>
      <c r="S153" s="290"/>
      <c r="T153" s="290"/>
      <c r="U153" s="290"/>
      <c r="V153" s="290"/>
      <c r="Z153" s="291"/>
      <c r="AA153" s="290"/>
      <c r="AB153" s="290"/>
      <c r="AC153" s="290"/>
      <c r="AD153" s="290"/>
      <c r="AE153" s="290"/>
      <c r="AF153" s="290"/>
      <c r="AG153" s="290"/>
      <c r="AH153" s="290"/>
      <c r="AI153" s="290"/>
      <c r="AJ153" s="290"/>
      <c r="AK153" s="290"/>
      <c r="AL153" s="16"/>
      <c r="AN153" s="291"/>
      <c r="AO153" s="291"/>
      <c r="AQ153" s="22"/>
      <c r="AR153" s="22"/>
      <c r="AS153" s="22"/>
      <c r="AT153" s="22"/>
      <c r="AU153" s="22"/>
      <c r="AV153" s="97"/>
      <c r="AW153" s="97"/>
      <c r="AX153" s="97"/>
      <c r="AY153" s="97"/>
      <c r="AZ153" s="97"/>
      <c r="BA153" s="97"/>
      <c r="BC153" s="290"/>
      <c r="BD153" s="290"/>
      <c r="BE153" s="290"/>
      <c r="BF153" s="290"/>
      <c r="BG153" s="290"/>
      <c r="BH153" s="290"/>
      <c r="BI153" s="290"/>
      <c r="BJ153" s="290"/>
      <c r="BK153" s="290"/>
      <c r="BL153" s="290"/>
      <c r="CN153" s="282"/>
      <c r="CO153" s="282"/>
      <c r="CP153" s="282"/>
      <c r="CZ153" s="409"/>
      <c r="DA153" s="409"/>
      <c r="DB153" s="409"/>
      <c r="DC153" s="409"/>
      <c r="DD153" s="409"/>
      <c r="DE153" s="409"/>
      <c r="DF153" s="409"/>
      <c r="DG153" s="409"/>
      <c r="DH153" s="409"/>
      <c r="DI153" s="409"/>
      <c r="DJ153" s="409"/>
      <c r="DK153" s="409"/>
      <c r="DL153" s="409"/>
      <c r="DM153" s="409"/>
      <c r="DN153" s="409"/>
      <c r="DO153" s="409"/>
      <c r="DP153" s="409"/>
      <c r="DQ153" s="409"/>
      <c r="DR153" s="409"/>
      <c r="DS153" s="409"/>
      <c r="DT153" s="409"/>
      <c r="DU153" s="409"/>
      <c r="DV153" s="409"/>
      <c r="DW153" s="409"/>
      <c r="DX153" s="409"/>
      <c r="DY153" s="409"/>
      <c r="DZ153" s="409"/>
      <c r="EA153" s="409"/>
      <c r="EB153" s="409"/>
      <c r="EC153" s="409"/>
      <c r="ED153" s="409"/>
      <c r="EE153" s="409"/>
      <c r="EF153" s="409"/>
      <c r="EG153" s="409"/>
      <c r="EH153" s="409"/>
      <c r="EI153" s="409"/>
      <c r="EJ153" s="409"/>
      <c r="EK153" s="409"/>
      <c r="EL153" s="409"/>
      <c r="EM153" s="409"/>
      <c r="EN153" s="409"/>
      <c r="EO153" s="409"/>
      <c r="EP153" s="409"/>
      <c r="EQ153" s="409"/>
      <c r="ER153" s="409"/>
      <c r="ES153" s="409"/>
      <c r="ET153" s="409"/>
      <c r="EU153" s="409"/>
      <c r="EV153" s="409"/>
      <c r="EW153" s="409"/>
      <c r="EX153" s="409"/>
      <c r="EY153" s="409"/>
      <c r="EZ153" s="409"/>
      <c r="FA153" s="409"/>
      <c r="FB153" s="409"/>
      <c r="FC153" s="409"/>
      <c r="FD153" s="409"/>
      <c r="FE153" s="409"/>
      <c r="FF153" s="409"/>
      <c r="FG153" s="409"/>
      <c r="FH153" s="409"/>
      <c r="FI153" s="409"/>
      <c r="FJ153" s="409"/>
      <c r="FK153" s="409"/>
      <c r="FL153" s="409"/>
      <c r="FM153" s="409"/>
      <c r="FN153" s="409"/>
      <c r="FO153" s="409"/>
      <c r="FP153" s="409"/>
      <c r="FQ153" s="409"/>
      <c r="FR153" s="409"/>
      <c r="FS153" s="409"/>
      <c r="FT153" s="409"/>
      <c r="FU153" s="409"/>
      <c r="FV153" s="409"/>
      <c r="FW153" s="409"/>
      <c r="FX153" s="409"/>
      <c r="FY153" s="409"/>
      <c r="FZ153" s="409"/>
      <c r="GA153" s="409"/>
      <c r="GB153" s="409"/>
      <c r="GC153" s="409"/>
      <c r="GD153" s="409"/>
      <c r="GE153" s="409"/>
      <c r="GF153" s="409"/>
      <c r="GG153" s="409"/>
      <c r="GH153" s="409"/>
      <c r="GI153" s="409"/>
      <c r="GJ153" s="409"/>
      <c r="GK153" s="409"/>
      <c r="GL153" s="409"/>
      <c r="GM153" s="409"/>
      <c r="GN153" s="409"/>
      <c r="GO153" s="409"/>
      <c r="GP153" s="409"/>
      <c r="GQ153" s="409"/>
      <c r="GR153" s="409"/>
      <c r="GS153" s="409"/>
      <c r="GT153" s="409"/>
      <c r="GU153" s="409"/>
      <c r="GV153" s="409"/>
      <c r="GW153" s="409"/>
      <c r="GX153" s="409"/>
      <c r="GY153" s="409"/>
      <c r="GZ153" s="409"/>
      <c r="HA153" s="409"/>
      <c r="HB153" s="409"/>
      <c r="HC153" s="409"/>
      <c r="HD153" s="409"/>
      <c r="HE153" s="409"/>
      <c r="HF153" s="409"/>
      <c r="HG153" s="409"/>
      <c r="HH153" s="409"/>
      <c r="HI153" s="409"/>
      <c r="HJ153" s="409"/>
      <c r="HK153" s="409"/>
      <c r="HL153" s="409"/>
      <c r="HM153" s="409"/>
      <c r="HN153" s="409"/>
      <c r="HO153" s="409"/>
      <c r="HP153" s="409"/>
      <c r="HQ153" s="409"/>
      <c r="HR153" s="409"/>
      <c r="HS153" s="409"/>
      <c r="HT153" s="409"/>
      <c r="HU153" s="409"/>
      <c r="HV153" s="409"/>
      <c r="HW153" s="409"/>
      <c r="HX153" s="409"/>
      <c r="HY153" s="409"/>
      <c r="HZ153" s="409"/>
      <c r="IA153" s="409"/>
      <c r="IB153" s="409"/>
      <c r="IC153" s="409"/>
      <c r="ID153" s="409"/>
      <c r="IE153" s="409"/>
      <c r="IF153" s="409"/>
      <c r="IG153" s="409"/>
      <c r="IH153" s="409"/>
      <c r="II153" s="409"/>
      <c r="IJ153" s="409"/>
      <c r="IK153" s="409"/>
      <c r="IL153" s="409"/>
      <c r="IM153" s="409"/>
      <c r="IN153" s="409"/>
      <c r="IO153" s="409"/>
      <c r="IP153" s="409"/>
      <c r="IQ153" s="409"/>
      <c r="IR153" s="409"/>
      <c r="IS153" s="409"/>
      <c r="IT153" s="409"/>
      <c r="IU153" s="409"/>
      <c r="IV153" s="409"/>
      <c r="IW153" s="409"/>
      <c r="IX153" s="409"/>
      <c r="IY153" s="409"/>
      <c r="IZ153" s="409"/>
      <c r="JA153" s="409"/>
      <c r="JB153" s="409"/>
      <c r="JC153" s="409"/>
      <c r="JD153" s="409"/>
      <c r="JE153" s="409"/>
      <c r="JF153" s="409"/>
      <c r="JG153" s="409"/>
      <c r="JH153" s="409"/>
      <c r="JI153" s="409"/>
      <c r="JJ153" s="409"/>
      <c r="JK153" s="409"/>
      <c r="JL153" s="409"/>
      <c r="JM153" s="409"/>
      <c r="JN153" s="409"/>
      <c r="JO153" s="409"/>
      <c r="JP153" s="409"/>
      <c r="JQ153" s="409"/>
      <c r="JR153" s="409"/>
      <c r="JS153" s="409"/>
      <c r="JT153" s="409"/>
      <c r="JU153" s="409"/>
      <c r="JV153" s="409"/>
      <c r="JW153" s="409"/>
      <c r="JX153" s="409"/>
      <c r="JY153" s="409"/>
      <c r="JZ153" s="409"/>
      <c r="KA153" s="409"/>
      <c r="KB153" s="409"/>
      <c r="KC153" s="409"/>
      <c r="KD153" s="409"/>
      <c r="KE153" s="409"/>
      <c r="KF153" s="409"/>
      <c r="KG153" s="409"/>
      <c r="KH153" s="409"/>
      <c r="KI153" s="409"/>
      <c r="KJ153" s="409"/>
      <c r="KK153" s="409"/>
      <c r="KL153" s="409"/>
      <c r="KM153" s="409"/>
      <c r="KN153" s="409"/>
      <c r="KO153" s="409"/>
      <c r="KP153" s="409"/>
      <c r="KQ153" s="409"/>
      <c r="KR153" s="409"/>
      <c r="KS153" s="409"/>
      <c r="KT153" s="409"/>
      <c r="KU153" s="409"/>
      <c r="KV153" s="409"/>
      <c r="KW153" s="409"/>
      <c r="KX153" s="409"/>
      <c r="KY153" s="409"/>
      <c r="KZ153" s="409"/>
      <c r="LA153" s="409"/>
      <c r="LB153" s="409"/>
      <c r="LC153" s="409"/>
      <c r="LD153" s="409"/>
      <c r="LE153" s="302"/>
      <c r="LF153" s="302"/>
      <c r="LG153" s="302"/>
      <c r="LH153" s="302"/>
      <c r="LI153" s="302"/>
      <c r="LJ153" s="302"/>
      <c r="LK153" s="302"/>
      <c r="LL153" s="302"/>
      <c r="LM153" s="302"/>
      <c r="LN153" s="302"/>
      <c r="LO153" s="302"/>
      <c r="LP153" s="302"/>
      <c r="LQ153" s="302"/>
      <c r="LR153" s="302"/>
      <c r="LS153" s="302"/>
      <c r="LT153" s="302"/>
      <c r="LU153" s="302"/>
      <c r="LV153" s="302"/>
      <c r="LW153" s="302"/>
      <c r="LX153" s="302"/>
      <c r="LY153" s="302"/>
      <c r="LZ153" s="302"/>
      <c r="MA153" s="302"/>
      <c r="MB153" s="302"/>
      <c r="MC153" s="302"/>
      <c r="MD153" s="302"/>
      <c r="ME153" s="302"/>
      <c r="MF153" s="302"/>
      <c r="MG153" s="302"/>
      <c r="MH153" s="302"/>
      <c r="MI153" s="302"/>
      <c r="MJ153" s="302"/>
      <c r="MK153" s="302"/>
      <c r="ML153" s="302"/>
      <c r="MM153" s="302"/>
      <c r="MN153" s="302"/>
      <c r="MO153" s="302"/>
      <c r="MP153" s="302"/>
      <c r="MQ153" s="302"/>
      <c r="MR153" s="302"/>
      <c r="MS153" s="302"/>
      <c r="MT153" s="302"/>
      <c r="MU153" s="302"/>
      <c r="MV153" s="302"/>
      <c r="MW153" s="302"/>
      <c r="MX153" s="302"/>
      <c r="MY153" s="302"/>
      <c r="MZ153" s="302"/>
      <c r="NA153" s="302"/>
      <c r="NB153" s="302"/>
      <c r="NC153" s="302"/>
      <c r="ND153" s="302"/>
      <c r="NE153" s="302"/>
      <c r="NF153" s="302"/>
      <c r="NG153" s="302"/>
      <c r="NH153" s="302"/>
      <c r="NI153" s="302"/>
      <c r="NJ153" s="302"/>
      <c r="NK153" s="302"/>
      <c r="NL153" s="302"/>
      <c r="NM153" s="302"/>
      <c r="NN153" s="302"/>
      <c r="NO153" s="302"/>
      <c r="NP153" s="302"/>
      <c r="NQ153" s="302"/>
      <c r="NR153" s="302"/>
      <c r="NS153" s="302"/>
      <c r="NT153" s="302"/>
      <c r="NU153" s="302"/>
      <c r="NV153" s="302"/>
      <c r="NW153" s="302"/>
      <c r="NX153" s="302"/>
      <c r="NY153" s="568"/>
      <c r="NZ153" s="568"/>
      <c r="OA153" s="575"/>
      <c r="OB153" s="575"/>
      <c r="OC153" s="578"/>
      <c r="OD153" s="578"/>
    </row>
    <row r="154" spans="1:394" s="292" customFormat="1" ht="22.5" customHeight="1">
      <c r="A154" s="290"/>
      <c r="B154" s="290"/>
      <c r="D154" s="82"/>
      <c r="E154" s="82"/>
      <c r="F154" s="82"/>
      <c r="G154" s="44"/>
      <c r="H154" s="67"/>
      <c r="K154" s="16"/>
      <c r="L154" s="16"/>
      <c r="M154" s="290"/>
      <c r="N154" s="290"/>
      <c r="O154" s="16"/>
      <c r="P154" s="290"/>
      <c r="Q154" s="290"/>
      <c r="R154" s="290"/>
      <c r="S154" s="290"/>
      <c r="T154" s="290"/>
      <c r="U154" s="290"/>
      <c r="V154" s="290"/>
      <c r="Z154" s="291"/>
      <c r="AA154" s="290"/>
      <c r="AB154" s="290"/>
      <c r="AC154" s="290"/>
      <c r="AD154" s="290"/>
      <c r="AE154" s="290"/>
      <c r="AF154" s="290"/>
      <c r="AG154" s="290"/>
      <c r="AH154" s="290"/>
      <c r="AI154" s="290"/>
      <c r="AJ154" s="290"/>
      <c r="AK154" s="290"/>
      <c r="AL154" s="16"/>
      <c r="AN154" s="291"/>
      <c r="AO154" s="291"/>
      <c r="AQ154" s="22"/>
      <c r="AR154" s="22"/>
      <c r="AS154" s="22"/>
      <c r="AT154" s="22"/>
      <c r="AU154" s="22"/>
      <c r="AV154" s="97"/>
      <c r="AW154" s="97"/>
      <c r="AX154" s="97"/>
      <c r="AY154" s="97"/>
      <c r="AZ154" s="97"/>
      <c r="BA154" s="97"/>
      <c r="BC154" s="290"/>
      <c r="BD154" s="290"/>
      <c r="BE154" s="290"/>
      <c r="BF154" s="290"/>
      <c r="BG154" s="290"/>
      <c r="BH154" s="290"/>
      <c r="BI154" s="290"/>
      <c r="BJ154" s="290"/>
      <c r="BK154" s="290"/>
      <c r="BL154" s="290"/>
      <c r="CN154" s="282"/>
      <c r="CO154" s="282"/>
      <c r="CP154" s="282"/>
      <c r="CZ154" s="409"/>
      <c r="DA154" s="409"/>
      <c r="DB154" s="409"/>
      <c r="DC154" s="409"/>
      <c r="DD154" s="409"/>
      <c r="DE154" s="409"/>
      <c r="DF154" s="409"/>
      <c r="DG154" s="409"/>
      <c r="DH154" s="409"/>
      <c r="DI154" s="409"/>
      <c r="DJ154" s="409"/>
      <c r="DK154" s="409"/>
      <c r="DL154" s="409"/>
      <c r="DM154" s="409"/>
      <c r="DN154" s="409"/>
      <c r="DO154" s="409"/>
      <c r="DP154" s="409"/>
      <c r="DQ154" s="409"/>
      <c r="DR154" s="409"/>
      <c r="DS154" s="409"/>
      <c r="DT154" s="409"/>
      <c r="DU154" s="409"/>
      <c r="DV154" s="409"/>
      <c r="DW154" s="409"/>
      <c r="DX154" s="409"/>
      <c r="DY154" s="409"/>
      <c r="DZ154" s="409"/>
      <c r="EA154" s="409"/>
      <c r="EB154" s="409"/>
      <c r="EC154" s="409"/>
      <c r="ED154" s="409"/>
      <c r="EE154" s="409"/>
      <c r="EF154" s="409"/>
      <c r="EG154" s="409"/>
      <c r="EH154" s="409"/>
      <c r="EI154" s="409"/>
      <c r="EJ154" s="409"/>
      <c r="EK154" s="409"/>
      <c r="EL154" s="409"/>
      <c r="EM154" s="409"/>
      <c r="EN154" s="409"/>
      <c r="EO154" s="409"/>
      <c r="EP154" s="409"/>
      <c r="EQ154" s="409"/>
      <c r="ER154" s="409"/>
      <c r="ES154" s="409"/>
      <c r="ET154" s="409"/>
      <c r="EU154" s="409"/>
      <c r="EV154" s="409"/>
      <c r="EW154" s="409"/>
      <c r="EX154" s="409"/>
      <c r="EY154" s="409"/>
      <c r="EZ154" s="409"/>
      <c r="FA154" s="409"/>
      <c r="FB154" s="409"/>
      <c r="FC154" s="409"/>
      <c r="FD154" s="409"/>
      <c r="FE154" s="409"/>
      <c r="FF154" s="409"/>
      <c r="FG154" s="409"/>
      <c r="FH154" s="409"/>
      <c r="FI154" s="409"/>
      <c r="FJ154" s="409"/>
      <c r="FK154" s="409"/>
      <c r="FL154" s="409"/>
      <c r="FM154" s="409"/>
      <c r="FN154" s="409"/>
      <c r="FO154" s="409"/>
      <c r="FP154" s="409"/>
      <c r="FQ154" s="409"/>
      <c r="FR154" s="409"/>
      <c r="FS154" s="409"/>
      <c r="FT154" s="409"/>
      <c r="FU154" s="409"/>
      <c r="FV154" s="409"/>
      <c r="FW154" s="409"/>
      <c r="FX154" s="409"/>
      <c r="FY154" s="409"/>
      <c r="FZ154" s="409"/>
      <c r="GA154" s="409"/>
      <c r="GB154" s="409"/>
      <c r="GC154" s="409"/>
      <c r="GD154" s="409"/>
      <c r="GE154" s="409"/>
      <c r="GF154" s="409"/>
      <c r="GG154" s="409"/>
      <c r="GH154" s="409"/>
      <c r="GI154" s="409"/>
      <c r="GJ154" s="409"/>
      <c r="GK154" s="409"/>
      <c r="GL154" s="409"/>
      <c r="GM154" s="409"/>
      <c r="GN154" s="409"/>
      <c r="GO154" s="409"/>
      <c r="GP154" s="409"/>
      <c r="GQ154" s="409"/>
      <c r="GR154" s="409"/>
      <c r="GS154" s="409"/>
      <c r="GT154" s="409"/>
      <c r="GU154" s="409"/>
      <c r="GV154" s="409"/>
      <c r="GW154" s="409"/>
      <c r="GX154" s="409"/>
      <c r="GY154" s="409"/>
      <c r="GZ154" s="409"/>
      <c r="HA154" s="409"/>
      <c r="HB154" s="409"/>
      <c r="HC154" s="409"/>
      <c r="HD154" s="409"/>
      <c r="HE154" s="409"/>
      <c r="HF154" s="409"/>
      <c r="HG154" s="409"/>
      <c r="HH154" s="409"/>
      <c r="HI154" s="409"/>
      <c r="HJ154" s="409"/>
      <c r="HK154" s="409"/>
      <c r="HL154" s="409"/>
      <c r="HM154" s="409"/>
      <c r="HN154" s="409"/>
      <c r="HO154" s="409"/>
      <c r="HP154" s="409"/>
      <c r="HQ154" s="409"/>
      <c r="HR154" s="409"/>
      <c r="HS154" s="409"/>
      <c r="HT154" s="409"/>
      <c r="HU154" s="409"/>
      <c r="HV154" s="409"/>
      <c r="HW154" s="409"/>
      <c r="HX154" s="409"/>
      <c r="HY154" s="409"/>
      <c r="HZ154" s="409"/>
      <c r="IA154" s="409"/>
      <c r="IB154" s="409"/>
      <c r="IC154" s="409"/>
      <c r="ID154" s="409"/>
      <c r="IE154" s="409"/>
      <c r="IF154" s="409"/>
      <c r="IG154" s="409"/>
      <c r="IH154" s="409"/>
      <c r="II154" s="409"/>
      <c r="IJ154" s="409"/>
      <c r="IK154" s="409"/>
      <c r="IL154" s="409"/>
      <c r="IM154" s="409"/>
      <c r="IN154" s="409"/>
      <c r="IO154" s="409"/>
      <c r="IP154" s="409"/>
      <c r="IQ154" s="409"/>
      <c r="IR154" s="409"/>
      <c r="IS154" s="409"/>
      <c r="IT154" s="409"/>
      <c r="IU154" s="409"/>
      <c r="IV154" s="409"/>
      <c r="IW154" s="409"/>
      <c r="IX154" s="409"/>
      <c r="IY154" s="409"/>
      <c r="IZ154" s="409"/>
      <c r="JA154" s="409"/>
      <c r="JB154" s="409"/>
      <c r="JC154" s="409"/>
      <c r="JD154" s="409"/>
      <c r="JE154" s="409"/>
      <c r="JF154" s="409"/>
      <c r="JG154" s="409"/>
      <c r="JH154" s="409"/>
      <c r="JI154" s="409"/>
      <c r="JJ154" s="409"/>
      <c r="JK154" s="409"/>
      <c r="JL154" s="409"/>
      <c r="JM154" s="409"/>
      <c r="JN154" s="409"/>
      <c r="JO154" s="409"/>
      <c r="JP154" s="409"/>
      <c r="JQ154" s="409"/>
      <c r="JR154" s="409"/>
      <c r="JS154" s="409"/>
      <c r="JT154" s="409"/>
      <c r="JU154" s="409"/>
      <c r="JV154" s="409"/>
      <c r="JW154" s="409"/>
      <c r="JX154" s="409"/>
      <c r="JY154" s="409"/>
      <c r="JZ154" s="409"/>
      <c r="KA154" s="409"/>
      <c r="KB154" s="409"/>
      <c r="KC154" s="409"/>
      <c r="KD154" s="409"/>
      <c r="KE154" s="409"/>
      <c r="KF154" s="409"/>
      <c r="KG154" s="409"/>
      <c r="KH154" s="409"/>
      <c r="KI154" s="409"/>
      <c r="KJ154" s="409"/>
      <c r="KK154" s="409"/>
      <c r="KL154" s="409"/>
      <c r="KM154" s="409"/>
      <c r="KN154" s="409"/>
      <c r="KO154" s="409"/>
      <c r="KP154" s="409"/>
      <c r="KQ154" s="409"/>
      <c r="KR154" s="409"/>
      <c r="KS154" s="409"/>
      <c r="KT154" s="409"/>
      <c r="KU154" s="409"/>
      <c r="KV154" s="409"/>
      <c r="KW154" s="409"/>
      <c r="KX154" s="409"/>
      <c r="KY154" s="409"/>
      <c r="KZ154" s="409"/>
      <c r="LA154" s="409"/>
      <c r="LB154" s="409"/>
      <c r="LC154" s="409"/>
      <c r="LD154" s="409"/>
      <c r="LE154" s="302"/>
      <c r="LF154" s="302"/>
      <c r="LG154" s="302"/>
      <c r="LH154" s="302"/>
      <c r="LI154" s="302"/>
      <c r="LJ154" s="302"/>
      <c r="LK154" s="302"/>
      <c r="LL154" s="302"/>
      <c r="LM154" s="302"/>
      <c r="LN154" s="302"/>
      <c r="LO154" s="302"/>
      <c r="LP154" s="302"/>
      <c r="LQ154" s="302"/>
      <c r="LR154" s="302"/>
      <c r="LS154" s="302"/>
      <c r="LT154" s="302"/>
      <c r="LU154" s="302"/>
      <c r="LV154" s="302"/>
      <c r="LW154" s="302"/>
      <c r="LX154" s="302"/>
      <c r="LY154" s="302"/>
      <c r="LZ154" s="302"/>
      <c r="MA154" s="302"/>
      <c r="MB154" s="302"/>
      <c r="MC154" s="302"/>
      <c r="MD154" s="302"/>
      <c r="ME154" s="302"/>
      <c r="MF154" s="302"/>
      <c r="MG154" s="302"/>
      <c r="MH154" s="302"/>
      <c r="MI154" s="302"/>
      <c r="MJ154" s="302"/>
      <c r="MK154" s="302"/>
      <c r="ML154" s="302"/>
      <c r="MM154" s="302"/>
      <c r="MN154" s="302"/>
      <c r="MO154" s="302"/>
      <c r="MP154" s="302"/>
      <c r="MQ154" s="302"/>
      <c r="MR154" s="302"/>
      <c r="MS154" s="302"/>
      <c r="MT154" s="302"/>
      <c r="MU154" s="302"/>
      <c r="MV154" s="302"/>
      <c r="MW154" s="302"/>
      <c r="MX154" s="302"/>
      <c r="MY154" s="302"/>
      <c r="MZ154" s="302"/>
      <c r="NA154" s="302"/>
      <c r="NB154" s="302"/>
      <c r="NC154" s="302"/>
      <c r="ND154" s="302"/>
      <c r="NE154" s="302"/>
      <c r="NF154" s="302"/>
      <c r="NG154" s="302"/>
      <c r="NH154" s="302"/>
      <c r="NI154" s="302"/>
      <c r="NJ154" s="302"/>
      <c r="NK154" s="302"/>
      <c r="NL154" s="302"/>
      <c r="NM154" s="302"/>
      <c r="NN154" s="302"/>
      <c r="NO154" s="302"/>
      <c r="NP154" s="302"/>
      <c r="NQ154" s="302"/>
      <c r="NR154" s="302"/>
      <c r="NS154" s="302"/>
      <c r="NT154" s="302"/>
      <c r="NU154" s="302"/>
      <c r="NV154" s="302"/>
      <c r="NW154" s="302"/>
      <c r="NX154" s="302"/>
      <c r="NY154" s="568"/>
      <c r="NZ154" s="568"/>
      <c r="OA154" s="575"/>
      <c r="OB154" s="575"/>
      <c r="OC154" s="578"/>
      <c r="OD154" s="578"/>
    </row>
    <row r="155" spans="1:394" s="292" customFormat="1" ht="22.5" customHeight="1">
      <c r="A155" s="290"/>
      <c r="B155" s="290"/>
      <c r="D155" s="82"/>
      <c r="E155" s="82"/>
      <c r="F155" s="82"/>
      <c r="G155" s="44"/>
      <c r="H155" s="67"/>
      <c r="K155" s="16"/>
      <c r="L155" s="16"/>
      <c r="M155" s="290"/>
      <c r="N155" s="290"/>
      <c r="O155" s="16"/>
      <c r="P155" s="290"/>
      <c r="Q155" s="290"/>
      <c r="R155" s="290"/>
      <c r="S155" s="290"/>
      <c r="T155" s="290"/>
      <c r="U155" s="290"/>
      <c r="V155" s="290"/>
      <c r="Z155" s="291"/>
      <c r="AA155" s="290"/>
      <c r="AB155" s="290"/>
      <c r="AC155" s="290"/>
      <c r="AD155" s="290"/>
      <c r="AE155" s="290"/>
      <c r="AF155" s="290"/>
      <c r="AG155" s="290"/>
      <c r="AH155" s="290"/>
      <c r="AI155" s="290"/>
      <c r="AJ155" s="290"/>
      <c r="AK155" s="290"/>
      <c r="AL155" s="16"/>
      <c r="AN155" s="291"/>
      <c r="AO155" s="291"/>
      <c r="AQ155" s="22"/>
      <c r="AR155" s="22"/>
      <c r="AS155" s="22"/>
      <c r="AT155" s="22"/>
      <c r="AU155" s="22"/>
      <c r="AV155" s="97"/>
      <c r="AW155" s="97"/>
      <c r="AX155" s="97"/>
      <c r="AY155" s="97"/>
      <c r="AZ155" s="97"/>
      <c r="BA155" s="97"/>
      <c r="BC155" s="290"/>
      <c r="BD155" s="290"/>
      <c r="BE155" s="290"/>
      <c r="BF155" s="290"/>
      <c r="BG155" s="290"/>
      <c r="BH155" s="290"/>
      <c r="BI155" s="290"/>
      <c r="BJ155" s="290"/>
      <c r="BK155" s="290"/>
      <c r="BL155" s="290"/>
      <c r="CN155" s="282"/>
      <c r="CO155" s="282"/>
      <c r="CP155" s="282"/>
      <c r="CZ155" s="409"/>
      <c r="DA155" s="409"/>
      <c r="DB155" s="409"/>
      <c r="DC155" s="409"/>
      <c r="DD155" s="409"/>
      <c r="DE155" s="409"/>
      <c r="DF155" s="409"/>
      <c r="DG155" s="409"/>
      <c r="DH155" s="409"/>
      <c r="DI155" s="409"/>
      <c r="DJ155" s="409"/>
      <c r="DK155" s="409"/>
      <c r="DL155" s="409"/>
      <c r="DM155" s="409"/>
      <c r="DN155" s="409"/>
      <c r="DO155" s="409"/>
      <c r="DP155" s="409"/>
      <c r="DQ155" s="409"/>
      <c r="DR155" s="409"/>
      <c r="DS155" s="409"/>
      <c r="DT155" s="409"/>
      <c r="DU155" s="409"/>
      <c r="DV155" s="409"/>
      <c r="DW155" s="409"/>
      <c r="DX155" s="409"/>
      <c r="DY155" s="409"/>
      <c r="DZ155" s="409"/>
      <c r="EA155" s="409"/>
      <c r="EB155" s="409"/>
      <c r="EC155" s="409"/>
      <c r="ED155" s="409"/>
      <c r="EE155" s="409"/>
      <c r="EF155" s="409"/>
      <c r="EG155" s="409"/>
      <c r="EH155" s="409"/>
      <c r="EI155" s="409"/>
      <c r="EJ155" s="409"/>
      <c r="EK155" s="409"/>
      <c r="EL155" s="409"/>
      <c r="EM155" s="409"/>
      <c r="EN155" s="409"/>
      <c r="EO155" s="409"/>
      <c r="EP155" s="409"/>
      <c r="EQ155" s="409"/>
      <c r="ER155" s="409"/>
      <c r="ES155" s="409"/>
      <c r="ET155" s="409"/>
      <c r="EU155" s="409"/>
      <c r="EV155" s="409"/>
      <c r="EW155" s="409"/>
      <c r="EX155" s="409"/>
      <c r="EY155" s="409"/>
      <c r="EZ155" s="409"/>
      <c r="FA155" s="409"/>
      <c r="FB155" s="409"/>
      <c r="FC155" s="409"/>
      <c r="FD155" s="409"/>
      <c r="FE155" s="409"/>
      <c r="FF155" s="409"/>
      <c r="FG155" s="409"/>
      <c r="FH155" s="409"/>
      <c r="FI155" s="409"/>
      <c r="FJ155" s="409"/>
      <c r="FK155" s="409"/>
      <c r="FL155" s="409"/>
      <c r="FM155" s="409"/>
      <c r="FN155" s="409"/>
      <c r="FO155" s="409"/>
      <c r="FP155" s="409"/>
      <c r="FQ155" s="409"/>
      <c r="FR155" s="409"/>
      <c r="FS155" s="409"/>
      <c r="FT155" s="409"/>
      <c r="FU155" s="409"/>
      <c r="FV155" s="409"/>
      <c r="FW155" s="409"/>
      <c r="FX155" s="409"/>
      <c r="FY155" s="409"/>
      <c r="FZ155" s="409"/>
      <c r="GA155" s="409"/>
      <c r="GB155" s="409"/>
      <c r="GC155" s="409"/>
      <c r="GD155" s="409"/>
      <c r="GE155" s="409"/>
      <c r="GF155" s="409"/>
      <c r="GG155" s="409"/>
      <c r="GH155" s="409"/>
      <c r="GI155" s="409"/>
      <c r="GJ155" s="409"/>
      <c r="GK155" s="409"/>
      <c r="GL155" s="409"/>
      <c r="GM155" s="409"/>
      <c r="GN155" s="409"/>
      <c r="GO155" s="409"/>
      <c r="GP155" s="409"/>
      <c r="GQ155" s="409"/>
      <c r="GR155" s="409"/>
      <c r="GS155" s="409"/>
      <c r="GT155" s="409"/>
      <c r="GU155" s="409"/>
      <c r="GV155" s="409"/>
      <c r="GW155" s="409"/>
      <c r="GX155" s="409"/>
      <c r="GY155" s="409"/>
      <c r="GZ155" s="409"/>
      <c r="HA155" s="409"/>
      <c r="HB155" s="409"/>
      <c r="HC155" s="409"/>
      <c r="HD155" s="409"/>
      <c r="HE155" s="409"/>
      <c r="HF155" s="409"/>
      <c r="HG155" s="409"/>
      <c r="HH155" s="409"/>
      <c r="HI155" s="409"/>
      <c r="HJ155" s="409"/>
      <c r="HK155" s="409"/>
      <c r="HL155" s="409"/>
      <c r="HM155" s="409"/>
      <c r="HN155" s="409"/>
      <c r="HO155" s="409"/>
      <c r="HP155" s="409"/>
      <c r="HQ155" s="409"/>
      <c r="HR155" s="409"/>
      <c r="HS155" s="409"/>
      <c r="HT155" s="409"/>
      <c r="HU155" s="409"/>
      <c r="HV155" s="409"/>
      <c r="HW155" s="409"/>
      <c r="HX155" s="409"/>
      <c r="HY155" s="409"/>
      <c r="HZ155" s="409"/>
      <c r="IA155" s="409"/>
      <c r="IB155" s="409"/>
      <c r="IC155" s="409"/>
      <c r="ID155" s="409"/>
      <c r="IE155" s="409"/>
      <c r="IF155" s="409"/>
      <c r="IG155" s="409"/>
      <c r="IH155" s="409"/>
      <c r="II155" s="409"/>
      <c r="IJ155" s="409"/>
      <c r="IK155" s="409"/>
      <c r="IL155" s="409"/>
      <c r="IM155" s="409"/>
      <c r="IN155" s="409"/>
      <c r="IO155" s="409"/>
      <c r="IP155" s="409"/>
      <c r="IQ155" s="409"/>
      <c r="IR155" s="409"/>
      <c r="IS155" s="409"/>
      <c r="IT155" s="409"/>
      <c r="IU155" s="409"/>
      <c r="IV155" s="409"/>
      <c r="IW155" s="409"/>
      <c r="IX155" s="409"/>
      <c r="IY155" s="409"/>
      <c r="IZ155" s="409"/>
      <c r="JA155" s="409"/>
      <c r="JB155" s="409"/>
      <c r="JC155" s="409"/>
      <c r="JD155" s="409"/>
      <c r="JE155" s="409"/>
      <c r="JF155" s="409"/>
      <c r="JG155" s="409"/>
      <c r="JH155" s="409"/>
      <c r="JI155" s="409"/>
      <c r="JJ155" s="409"/>
      <c r="JK155" s="409"/>
      <c r="JL155" s="409"/>
      <c r="JM155" s="409"/>
      <c r="JN155" s="409"/>
      <c r="JO155" s="409"/>
      <c r="JP155" s="409"/>
      <c r="JQ155" s="409"/>
      <c r="JR155" s="409"/>
      <c r="JS155" s="409"/>
      <c r="JT155" s="409"/>
      <c r="JU155" s="409"/>
      <c r="JV155" s="409"/>
      <c r="JW155" s="409"/>
      <c r="JX155" s="409"/>
      <c r="JY155" s="409"/>
      <c r="JZ155" s="409"/>
      <c r="KA155" s="409"/>
      <c r="KB155" s="409"/>
      <c r="KC155" s="409"/>
      <c r="KD155" s="409"/>
      <c r="KE155" s="409"/>
      <c r="KF155" s="409"/>
      <c r="KG155" s="409"/>
      <c r="KH155" s="409"/>
      <c r="KI155" s="409"/>
      <c r="KJ155" s="409"/>
      <c r="KK155" s="409"/>
      <c r="KL155" s="409"/>
      <c r="KM155" s="409"/>
      <c r="KN155" s="409"/>
      <c r="KO155" s="409"/>
      <c r="KP155" s="409"/>
      <c r="KQ155" s="409"/>
      <c r="KR155" s="409"/>
      <c r="KS155" s="409"/>
      <c r="KT155" s="409"/>
      <c r="KU155" s="409"/>
      <c r="KV155" s="409"/>
      <c r="KW155" s="409"/>
      <c r="KX155" s="409"/>
      <c r="KY155" s="409"/>
      <c r="KZ155" s="409"/>
      <c r="LA155" s="409"/>
      <c r="LB155" s="409"/>
      <c r="LC155" s="409"/>
      <c r="LD155" s="409"/>
      <c r="LE155" s="302"/>
      <c r="LF155" s="302"/>
      <c r="LG155" s="302"/>
      <c r="LH155" s="302"/>
      <c r="LI155" s="302"/>
      <c r="LJ155" s="302"/>
      <c r="LK155" s="302"/>
      <c r="LL155" s="302"/>
      <c r="LM155" s="302"/>
      <c r="LN155" s="302"/>
      <c r="LO155" s="302"/>
      <c r="LP155" s="302"/>
      <c r="LQ155" s="302"/>
      <c r="LR155" s="302"/>
      <c r="LS155" s="302"/>
      <c r="LT155" s="302"/>
      <c r="LU155" s="302"/>
      <c r="LV155" s="302"/>
      <c r="LW155" s="302"/>
      <c r="LX155" s="302"/>
      <c r="LY155" s="302"/>
      <c r="LZ155" s="302"/>
      <c r="MA155" s="302"/>
      <c r="MB155" s="302"/>
      <c r="MC155" s="302"/>
      <c r="MD155" s="302"/>
      <c r="ME155" s="302"/>
      <c r="MF155" s="302"/>
      <c r="MG155" s="302"/>
      <c r="MH155" s="302"/>
      <c r="MI155" s="302"/>
      <c r="MJ155" s="302"/>
      <c r="MK155" s="302"/>
      <c r="ML155" s="302"/>
      <c r="MM155" s="302"/>
      <c r="MN155" s="302"/>
      <c r="MO155" s="302"/>
      <c r="MP155" s="302"/>
      <c r="MQ155" s="302"/>
      <c r="MR155" s="302"/>
      <c r="MS155" s="302"/>
      <c r="MT155" s="302"/>
      <c r="MU155" s="302"/>
      <c r="MV155" s="302"/>
      <c r="MW155" s="302"/>
      <c r="MX155" s="302"/>
      <c r="MY155" s="302"/>
      <c r="MZ155" s="302"/>
      <c r="NA155" s="302"/>
      <c r="NB155" s="302"/>
      <c r="NC155" s="302"/>
      <c r="ND155" s="302"/>
      <c r="NE155" s="302"/>
      <c r="NF155" s="302"/>
      <c r="NG155" s="302"/>
      <c r="NH155" s="302"/>
      <c r="NI155" s="302"/>
      <c r="NJ155" s="302"/>
      <c r="NK155" s="302"/>
      <c r="NL155" s="302"/>
      <c r="NM155" s="302"/>
      <c r="NN155" s="302"/>
      <c r="NO155" s="302"/>
      <c r="NP155" s="302"/>
      <c r="NQ155" s="302"/>
      <c r="NR155" s="302"/>
      <c r="NS155" s="302"/>
      <c r="NT155" s="302"/>
      <c r="NU155" s="302"/>
      <c r="NV155" s="302"/>
      <c r="NW155" s="302"/>
      <c r="NX155" s="302"/>
      <c r="NY155" s="568"/>
      <c r="NZ155" s="568"/>
      <c r="OA155" s="575"/>
      <c r="OB155" s="575"/>
      <c r="OC155" s="578"/>
      <c r="OD155" s="578"/>
    </row>
    <row r="156" spans="1:394" s="292" customFormat="1" ht="22.5" customHeight="1">
      <c r="A156" s="290"/>
      <c r="B156" s="290"/>
      <c r="D156" s="82"/>
      <c r="E156" s="82"/>
      <c r="F156" s="82"/>
      <c r="G156" s="44"/>
      <c r="H156" s="67"/>
      <c r="K156" s="16"/>
      <c r="L156" s="16"/>
      <c r="M156" s="290"/>
      <c r="N156" s="290"/>
      <c r="O156" s="16"/>
      <c r="P156" s="290"/>
      <c r="Q156" s="290"/>
      <c r="R156" s="290"/>
      <c r="S156" s="290"/>
      <c r="T156" s="290"/>
      <c r="U156" s="290"/>
      <c r="V156" s="290"/>
      <c r="Z156" s="291"/>
      <c r="AA156" s="290"/>
      <c r="AB156" s="290"/>
      <c r="AC156" s="290"/>
      <c r="AD156" s="290"/>
      <c r="AE156" s="290"/>
      <c r="AF156" s="290"/>
      <c r="AG156" s="290"/>
      <c r="AH156" s="290"/>
      <c r="AI156" s="290"/>
      <c r="AJ156" s="290"/>
      <c r="AK156" s="290"/>
      <c r="AL156" s="16"/>
      <c r="AN156" s="291"/>
      <c r="AO156" s="291"/>
      <c r="AQ156" s="22"/>
      <c r="AR156" s="22"/>
      <c r="AS156" s="22"/>
      <c r="AT156" s="22"/>
      <c r="AU156" s="22"/>
      <c r="AV156" s="97"/>
      <c r="AW156" s="97"/>
      <c r="AX156" s="97"/>
      <c r="AY156" s="97"/>
      <c r="AZ156" s="97"/>
      <c r="BA156" s="97"/>
      <c r="BC156" s="290"/>
      <c r="BD156" s="290"/>
      <c r="BE156" s="290"/>
      <c r="BF156" s="290"/>
      <c r="BG156" s="290"/>
      <c r="BH156" s="290"/>
      <c r="BI156" s="290"/>
      <c r="BJ156" s="290"/>
      <c r="BK156" s="290"/>
      <c r="BL156" s="290"/>
      <c r="CN156" s="282"/>
      <c r="CO156" s="282"/>
      <c r="CP156" s="282"/>
      <c r="CZ156" s="409"/>
      <c r="DA156" s="409"/>
      <c r="DB156" s="409"/>
      <c r="DC156" s="409"/>
      <c r="DD156" s="409"/>
      <c r="DE156" s="409"/>
      <c r="DF156" s="409"/>
      <c r="DG156" s="409"/>
      <c r="DH156" s="409"/>
      <c r="DI156" s="409"/>
      <c r="DJ156" s="409"/>
      <c r="DK156" s="409"/>
      <c r="DL156" s="409"/>
      <c r="DM156" s="409"/>
      <c r="DN156" s="409"/>
      <c r="DO156" s="409"/>
      <c r="DP156" s="409"/>
      <c r="DQ156" s="409"/>
      <c r="DR156" s="409"/>
      <c r="DS156" s="409"/>
      <c r="DT156" s="409"/>
      <c r="DU156" s="409"/>
      <c r="DV156" s="409"/>
      <c r="DW156" s="409"/>
      <c r="DX156" s="409"/>
      <c r="DY156" s="409"/>
      <c r="DZ156" s="409"/>
      <c r="EA156" s="409"/>
      <c r="EB156" s="409"/>
      <c r="EC156" s="409"/>
      <c r="ED156" s="409"/>
      <c r="EE156" s="409"/>
      <c r="EF156" s="409"/>
      <c r="EG156" s="409"/>
      <c r="EH156" s="409"/>
      <c r="EI156" s="409"/>
      <c r="EJ156" s="409"/>
      <c r="EK156" s="409"/>
      <c r="EL156" s="409"/>
      <c r="EM156" s="409"/>
      <c r="EN156" s="409"/>
      <c r="EO156" s="409"/>
      <c r="EP156" s="409"/>
      <c r="EQ156" s="409"/>
      <c r="ER156" s="409"/>
      <c r="ES156" s="409"/>
      <c r="ET156" s="409"/>
      <c r="EU156" s="409"/>
      <c r="EV156" s="409"/>
      <c r="EW156" s="409"/>
      <c r="EX156" s="409"/>
      <c r="EY156" s="409"/>
      <c r="EZ156" s="409"/>
      <c r="FA156" s="409"/>
      <c r="FB156" s="409"/>
      <c r="FC156" s="409"/>
      <c r="FD156" s="409"/>
      <c r="FE156" s="409"/>
      <c r="FF156" s="409"/>
      <c r="FG156" s="409"/>
      <c r="FH156" s="409"/>
      <c r="FI156" s="409"/>
      <c r="FJ156" s="409"/>
      <c r="FK156" s="409"/>
      <c r="FL156" s="409"/>
      <c r="FM156" s="409"/>
      <c r="FN156" s="409"/>
      <c r="FO156" s="409"/>
      <c r="FP156" s="409"/>
      <c r="FQ156" s="409"/>
      <c r="FR156" s="409"/>
      <c r="FS156" s="409"/>
      <c r="FT156" s="409"/>
      <c r="FU156" s="409"/>
      <c r="FV156" s="409"/>
      <c r="FW156" s="409"/>
      <c r="FX156" s="409"/>
      <c r="FY156" s="409"/>
      <c r="FZ156" s="409"/>
      <c r="GA156" s="409"/>
      <c r="GB156" s="409"/>
      <c r="GC156" s="409"/>
      <c r="GD156" s="409"/>
      <c r="GE156" s="409"/>
      <c r="GF156" s="409"/>
      <c r="GG156" s="409"/>
      <c r="GH156" s="409"/>
      <c r="GI156" s="409"/>
      <c r="GJ156" s="409"/>
      <c r="GK156" s="409"/>
      <c r="GL156" s="409"/>
      <c r="GM156" s="409"/>
      <c r="GN156" s="409"/>
      <c r="GO156" s="409"/>
      <c r="GP156" s="409"/>
      <c r="GQ156" s="409"/>
      <c r="GR156" s="409"/>
      <c r="GS156" s="409"/>
      <c r="GT156" s="409"/>
      <c r="GU156" s="409"/>
      <c r="GV156" s="409"/>
      <c r="GW156" s="409"/>
      <c r="GX156" s="409"/>
      <c r="GY156" s="409"/>
      <c r="GZ156" s="409"/>
      <c r="HA156" s="409"/>
      <c r="HB156" s="409"/>
      <c r="HC156" s="409"/>
      <c r="HD156" s="409"/>
      <c r="HE156" s="409"/>
      <c r="HF156" s="409"/>
      <c r="HG156" s="409"/>
      <c r="HH156" s="409"/>
      <c r="HI156" s="409"/>
      <c r="HJ156" s="409"/>
      <c r="HK156" s="409"/>
      <c r="HL156" s="409"/>
      <c r="HM156" s="409"/>
      <c r="HN156" s="409"/>
      <c r="HO156" s="409"/>
      <c r="HP156" s="409"/>
      <c r="HQ156" s="409"/>
      <c r="HR156" s="409"/>
      <c r="HS156" s="409"/>
      <c r="HT156" s="409"/>
      <c r="HU156" s="409"/>
      <c r="HV156" s="409"/>
      <c r="HW156" s="409"/>
      <c r="HX156" s="409"/>
      <c r="HY156" s="409"/>
      <c r="HZ156" s="409"/>
      <c r="IA156" s="409"/>
      <c r="IB156" s="409"/>
      <c r="IC156" s="409"/>
      <c r="ID156" s="409"/>
      <c r="IE156" s="409"/>
      <c r="IF156" s="409"/>
      <c r="IG156" s="409"/>
      <c r="IH156" s="409"/>
      <c r="II156" s="409"/>
      <c r="IJ156" s="409"/>
      <c r="IK156" s="409"/>
      <c r="IL156" s="409"/>
      <c r="IM156" s="409"/>
      <c r="IN156" s="409"/>
      <c r="IO156" s="409"/>
      <c r="IP156" s="409"/>
      <c r="IQ156" s="409"/>
      <c r="IR156" s="409"/>
      <c r="IS156" s="409"/>
      <c r="IT156" s="409"/>
      <c r="IU156" s="409"/>
      <c r="IV156" s="409"/>
      <c r="IW156" s="409"/>
      <c r="IX156" s="409"/>
      <c r="IY156" s="409"/>
      <c r="IZ156" s="409"/>
      <c r="JA156" s="409"/>
      <c r="JB156" s="409"/>
      <c r="JC156" s="409"/>
      <c r="JD156" s="409"/>
      <c r="JE156" s="409"/>
      <c r="JF156" s="409"/>
      <c r="JG156" s="409"/>
      <c r="JH156" s="409"/>
      <c r="JI156" s="409"/>
      <c r="JJ156" s="409"/>
      <c r="JK156" s="409"/>
      <c r="JL156" s="409"/>
      <c r="JM156" s="409"/>
      <c r="JN156" s="409"/>
      <c r="JO156" s="409"/>
      <c r="JP156" s="409"/>
      <c r="JQ156" s="409"/>
      <c r="JR156" s="409"/>
      <c r="JS156" s="409"/>
      <c r="JT156" s="409"/>
      <c r="JU156" s="409"/>
      <c r="JV156" s="409"/>
      <c r="JW156" s="409"/>
      <c r="JX156" s="409"/>
      <c r="JY156" s="409"/>
      <c r="JZ156" s="409"/>
      <c r="KA156" s="409"/>
      <c r="KB156" s="409"/>
      <c r="KC156" s="409"/>
      <c r="KD156" s="409"/>
      <c r="KE156" s="409"/>
      <c r="KF156" s="409"/>
      <c r="KG156" s="409"/>
      <c r="KH156" s="409"/>
      <c r="KI156" s="409"/>
      <c r="KJ156" s="409"/>
      <c r="KK156" s="409"/>
      <c r="KL156" s="409"/>
      <c r="KM156" s="409"/>
      <c r="KN156" s="409"/>
      <c r="KO156" s="409"/>
      <c r="KP156" s="409"/>
      <c r="KQ156" s="409"/>
      <c r="KR156" s="409"/>
      <c r="KS156" s="409"/>
      <c r="KT156" s="409"/>
      <c r="KU156" s="409"/>
      <c r="KV156" s="409"/>
      <c r="KW156" s="409"/>
      <c r="KX156" s="409"/>
      <c r="KY156" s="409"/>
      <c r="KZ156" s="409"/>
      <c r="LA156" s="409"/>
      <c r="LB156" s="409"/>
      <c r="LC156" s="409"/>
      <c r="LD156" s="409"/>
      <c r="LE156" s="302"/>
      <c r="LF156" s="302"/>
      <c r="LG156" s="302"/>
      <c r="LH156" s="302"/>
      <c r="LI156" s="302"/>
      <c r="LJ156" s="302"/>
      <c r="LK156" s="302"/>
      <c r="LL156" s="302"/>
      <c r="LM156" s="302"/>
      <c r="LN156" s="302"/>
      <c r="LO156" s="302"/>
      <c r="LP156" s="302"/>
      <c r="LQ156" s="302"/>
      <c r="LR156" s="302"/>
      <c r="LS156" s="302"/>
      <c r="LT156" s="302"/>
      <c r="LU156" s="302"/>
      <c r="LV156" s="302"/>
      <c r="LW156" s="302"/>
      <c r="LX156" s="302"/>
      <c r="LY156" s="302"/>
      <c r="LZ156" s="302"/>
      <c r="MA156" s="302"/>
      <c r="MB156" s="302"/>
      <c r="MC156" s="302"/>
      <c r="MD156" s="302"/>
      <c r="ME156" s="302"/>
      <c r="MF156" s="302"/>
      <c r="MG156" s="302"/>
      <c r="MH156" s="302"/>
      <c r="MI156" s="302"/>
      <c r="MJ156" s="302"/>
      <c r="MK156" s="302"/>
      <c r="ML156" s="302"/>
      <c r="MM156" s="302"/>
      <c r="MN156" s="302"/>
      <c r="MO156" s="302"/>
      <c r="MP156" s="302"/>
      <c r="MQ156" s="302"/>
      <c r="MR156" s="302"/>
      <c r="MS156" s="302"/>
      <c r="MT156" s="302"/>
      <c r="MU156" s="302"/>
      <c r="MV156" s="302"/>
      <c r="MW156" s="302"/>
      <c r="MX156" s="302"/>
      <c r="MY156" s="302"/>
      <c r="MZ156" s="302"/>
      <c r="NA156" s="302"/>
      <c r="NB156" s="302"/>
      <c r="NC156" s="302"/>
      <c r="ND156" s="302"/>
      <c r="NE156" s="302"/>
      <c r="NF156" s="302"/>
      <c r="NG156" s="302"/>
      <c r="NH156" s="302"/>
      <c r="NI156" s="302"/>
      <c r="NJ156" s="302"/>
      <c r="NK156" s="302"/>
      <c r="NL156" s="302"/>
      <c r="NM156" s="302"/>
      <c r="NN156" s="302"/>
      <c r="NO156" s="302"/>
      <c r="NP156" s="302"/>
      <c r="NQ156" s="302"/>
      <c r="NR156" s="302"/>
      <c r="NS156" s="302"/>
      <c r="NT156" s="302"/>
      <c r="NU156" s="302"/>
      <c r="NV156" s="302"/>
      <c r="NW156" s="302"/>
      <c r="NX156" s="302"/>
      <c r="NY156" s="568"/>
      <c r="NZ156" s="568"/>
      <c r="OA156" s="575"/>
      <c r="OB156" s="575"/>
      <c r="OC156" s="578"/>
      <c r="OD156" s="578"/>
    </row>
    <row r="157" spans="1:394" s="292" customFormat="1" ht="22.5" customHeight="1">
      <c r="A157" s="290"/>
      <c r="B157" s="290"/>
      <c r="D157" s="82"/>
      <c r="E157" s="82"/>
      <c r="F157" s="82"/>
      <c r="G157" s="44"/>
      <c r="H157" s="67"/>
      <c r="K157" s="16"/>
      <c r="L157" s="16"/>
      <c r="M157" s="290"/>
      <c r="N157" s="290"/>
      <c r="O157" s="16"/>
      <c r="P157" s="290"/>
      <c r="Q157" s="290"/>
      <c r="R157" s="290"/>
      <c r="S157" s="290"/>
      <c r="T157" s="290"/>
      <c r="U157" s="290"/>
      <c r="V157" s="290"/>
      <c r="Z157" s="291"/>
      <c r="AA157" s="290"/>
      <c r="AB157" s="290"/>
      <c r="AC157" s="290"/>
      <c r="AD157" s="290"/>
      <c r="AE157" s="290"/>
      <c r="AF157" s="290"/>
      <c r="AG157" s="290"/>
      <c r="AH157" s="290"/>
      <c r="AI157" s="290"/>
      <c r="AJ157" s="290"/>
      <c r="AK157" s="290"/>
      <c r="AL157" s="16"/>
      <c r="AN157" s="291"/>
      <c r="AO157" s="291"/>
      <c r="AQ157" s="22"/>
      <c r="AR157" s="22"/>
      <c r="AS157" s="22"/>
      <c r="AT157" s="22"/>
      <c r="AU157" s="22"/>
      <c r="AV157" s="97"/>
      <c r="AW157" s="97"/>
      <c r="AX157" s="97"/>
      <c r="AY157" s="97"/>
      <c r="AZ157" s="97"/>
      <c r="BA157" s="97"/>
      <c r="BC157" s="290"/>
      <c r="BD157" s="290"/>
      <c r="BE157" s="290"/>
      <c r="BF157" s="290"/>
      <c r="BG157" s="290"/>
      <c r="BH157" s="290"/>
      <c r="BI157" s="290"/>
      <c r="BJ157" s="290"/>
      <c r="BK157" s="290"/>
      <c r="BL157" s="290"/>
      <c r="CN157" s="282"/>
      <c r="CO157" s="282"/>
      <c r="CP157" s="282"/>
      <c r="CZ157" s="409"/>
      <c r="DA157" s="409"/>
      <c r="DB157" s="409"/>
      <c r="DC157" s="409"/>
      <c r="DD157" s="409"/>
      <c r="DE157" s="409"/>
      <c r="DF157" s="409"/>
      <c r="DG157" s="409"/>
      <c r="DH157" s="409"/>
      <c r="DI157" s="409"/>
      <c r="DJ157" s="409"/>
      <c r="DK157" s="409"/>
      <c r="DL157" s="409"/>
      <c r="DM157" s="409"/>
      <c r="DN157" s="409"/>
      <c r="DO157" s="409"/>
      <c r="DP157" s="409"/>
      <c r="DQ157" s="409"/>
      <c r="DR157" s="409"/>
      <c r="DS157" s="409"/>
      <c r="DT157" s="409"/>
      <c r="DU157" s="409"/>
      <c r="DV157" s="409"/>
      <c r="DW157" s="409"/>
      <c r="DX157" s="409"/>
      <c r="DY157" s="409"/>
      <c r="DZ157" s="409"/>
      <c r="EA157" s="409"/>
      <c r="EB157" s="409"/>
      <c r="EC157" s="409"/>
      <c r="ED157" s="409"/>
      <c r="EE157" s="409"/>
      <c r="EF157" s="409"/>
      <c r="EG157" s="409"/>
      <c r="EH157" s="409"/>
      <c r="EI157" s="409"/>
      <c r="EJ157" s="409"/>
      <c r="EK157" s="409"/>
      <c r="EL157" s="409"/>
      <c r="EM157" s="409"/>
      <c r="EN157" s="409"/>
      <c r="EO157" s="409"/>
      <c r="EP157" s="409"/>
      <c r="EQ157" s="409"/>
      <c r="ER157" s="409"/>
      <c r="ES157" s="409"/>
      <c r="ET157" s="409"/>
      <c r="EU157" s="409"/>
      <c r="EV157" s="409"/>
      <c r="EW157" s="409"/>
      <c r="EX157" s="409"/>
      <c r="EY157" s="409"/>
      <c r="EZ157" s="409"/>
      <c r="FA157" s="409"/>
      <c r="FB157" s="409"/>
      <c r="FC157" s="409"/>
      <c r="FD157" s="409"/>
      <c r="FE157" s="409"/>
      <c r="FF157" s="409"/>
      <c r="FG157" s="409"/>
      <c r="FH157" s="409"/>
      <c r="FI157" s="409"/>
      <c r="FJ157" s="409"/>
      <c r="FK157" s="409"/>
      <c r="FL157" s="409"/>
      <c r="FM157" s="409"/>
      <c r="FN157" s="409"/>
      <c r="FO157" s="409"/>
      <c r="FP157" s="409"/>
      <c r="FQ157" s="409"/>
      <c r="FR157" s="409"/>
      <c r="FS157" s="409"/>
      <c r="FT157" s="409"/>
      <c r="FU157" s="409"/>
      <c r="FV157" s="409"/>
      <c r="FW157" s="409"/>
      <c r="FX157" s="409"/>
      <c r="FY157" s="409"/>
      <c r="FZ157" s="409"/>
      <c r="GA157" s="409"/>
      <c r="GB157" s="409"/>
      <c r="GC157" s="409"/>
      <c r="GD157" s="409"/>
      <c r="GE157" s="409"/>
      <c r="GF157" s="409"/>
      <c r="GG157" s="409"/>
      <c r="GH157" s="409"/>
      <c r="GI157" s="409"/>
      <c r="GJ157" s="409"/>
      <c r="GK157" s="409"/>
      <c r="GL157" s="409"/>
      <c r="GM157" s="409"/>
      <c r="GN157" s="409"/>
      <c r="GO157" s="409"/>
      <c r="GP157" s="409"/>
      <c r="GQ157" s="409"/>
      <c r="GR157" s="409"/>
      <c r="GS157" s="409"/>
      <c r="GT157" s="409"/>
      <c r="GU157" s="409"/>
      <c r="GV157" s="409"/>
      <c r="GW157" s="409"/>
      <c r="GX157" s="409"/>
      <c r="GY157" s="409"/>
      <c r="GZ157" s="409"/>
      <c r="HA157" s="409"/>
      <c r="HB157" s="409"/>
      <c r="HC157" s="409"/>
      <c r="HD157" s="409"/>
      <c r="HE157" s="409"/>
      <c r="HF157" s="409"/>
      <c r="HG157" s="409"/>
      <c r="HH157" s="409"/>
      <c r="HI157" s="409"/>
      <c r="HJ157" s="409"/>
      <c r="HK157" s="409"/>
      <c r="HL157" s="409"/>
      <c r="HM157" s="409"/>
      <c r="HN157" s="409"/>
      <c r="HO157" s="409"/>
      <c r="HP157" s="409"/>
      <c r="HQ157" s="409"/>
      <c r="HR157" s="409"/>
      <c r="HS157" s="409"/>
      <c r="HT157" s="409"/>
      <c r="HU157" s="409"/>
      <c r="HV157" s="409"/>
      <c r="HW157" s="409"/>
      <c r="HX157" s="409"/>
      <c r="HY157" s="409"/>
      <c r="HZ157" s="409"/>
      <c r="IA157" s="409"/>
      <c r="IB157" s="409"/>
      <c r="IC157" s="409"/>
      <c r="ID157" s="409"/>
      <c r="IE157" s="409"/>
      <c r="IF157" s="409"/>
      <c r="IG157" s="409"/>
      <c r="IH157" s="409"/>
      <c r="II157" s="409"/>
      <c r="IJ157" s="409"/>
      <c r="IK157" s="409"/>
      <c r="IL157" s="409"/>
      <c r="IM157" s="409"/>
      <c r="IN157" s="409"/>
      <c r="IO157" s="409"/>
      <c r="IP157" s="409"/>
      <c r="IQ157" s="409"/>
      <c r="IR157" s="409"/>
      <c r="IS157" s="409"/>
      <c r="IT157" s="409"/>
      <c r="IU157" s="409"/>
      <c r="IV157" s="409"/>
      <c r="IW157" s="409"/>
      <c r="IX157" s="409"/>
      <c r="IY157" s="409"/>
      <c r="IZ157" s="409"/>
      <c r="JA157" s="409"/>
      <c r="JB157" s="409"/>
      <c r="JC157" s="409"/>
      <c r="JD157" s="409"/>
      <c r="JE157" s="409"/>
      <c r="JF157" s="409"/>
      <c r="JG157" s="409"/>
      <c r="JH157" s="409"/>
      <c r="JI157" s="409"/>
      <c r="JJ157" s="409"/>
      <c r="JK157" s="409"/>
      <c r="JL157" s="409"/>
      <c r="JM157" s="409"/>
      <c r="JN157" s="409"/>
      <c r="JO157" s="409"/>
      <c r="JP157" s="409"/>
      <c r="JQ157" s="409"/>
      <c r="JR157" s="409"/>
      <c r="JS157" s="409"/>
      <c r="JT157" s="409"/>
      <c r="JU157" s="409"/>
      <c r="JV157" s="409"/>
      <c r="JW157" s="409"/>
      <c r="JX157" s="409"/>
      <c r="JY157" s="409"/>
      <c r="JZ157" s="409"/>
      <c r="KA157" s="409"/>
      <c r="KB157" s="409"/>
      <c r="KC157" s="409"/>
      <c r="KD157" s="409"/>
      <c r="KE157" s="409"/>
      <c r="KF157" s="409"/>
      <c r="KG157" s="409"/>
      <c r="KH157" s="409"/>
      <c r="KI157" s="409"/>
      <c r="KJ157" s="409"/>
      <c r="KK157" s="409"/>
      <c r="KL157" s="409"/>
      <c r="KM157" s="409"/>
      <c r="KN157" s="409"/>
      <c r="KO157" s="409"/>
      <c r="KP157" s="409"/>
      <c r="KQ157" s="409"/>
      <c r="KR157" s="409"/>
      <c r="KS157" s="409"/>
      <c r="KT157" s="409"/>
      <c r="KU157" s="409"/>
      <c r="KV157" s="409"/>
      <c r="KW157" s="409"/>
      <c r="KX157" s="409"/>
      <c r="KY157" s="409"/>
      <c r="KZ157" s="409"/>
      <c r="LA157" s="409"/>
      <c r="LB157" s="409"/>
      <c r="LC157" s="409"/>
      <c r="LD157" s="409"/>
      <c r="LE157" s="302"/>
      <c r="LF157" s="302"/>
      <c r="LG157" s="302"/>
      <c r="LH157" s="302"/>
      <c r="LI157" s="302"/>
      <c r="LJ157" s="302"/>
      <c r="LK157" s="302"/>
      <c r="LL157" s="302"/>
      <c r="LM157" s="302"/>
      <c r="LN157" s="302"/>
      <c r="LO157" s="302"/>
      <c r="LP157" s="302"/>
      <c r="LQ157" s="302"/>
      <c r="LR157" s="302"/>
      <c r="LS157" s="302"/>
      <c r="LT157" s="302"/>
      <c r="LU157" s="302"/>
      <c r="LV157" s="302"/>
      <c r="LW157" s="302"/>
      <c r="LX157" s="302"/>
      <c r="LY157" s="302"/>
      <c r="LZ157" s="302"/>
      <c r="MA157" s="302"/>
      <c r="MB157" s="302"/>
      <c r="MC157" s="302"/>
      <c r="MD157" s="302"/>
      <c r="ME157" s="302"/>
      <c r="MF157" s="302"/>
      <c r="MG157" s="302"/>
      <c r="MH157" s="302"/>
      <c r="MI157" s="302"/>
      <c r="MJ157" s="302"/>
      <c r="MK157" s="302"/>
      <c r="ML157" s="302"/>
      <c r="MM157" s="302"/>
      <c r="MN157" s="302"/>
      <c r="MO157" s="302"/>
      <c r="MP157" s="302"/>
      <c r="MQ157" s="302"/>
      <c r="MR157" s="302"/>
      <c r="MS157" s="302"/>
      <c r="MT157" s="302"/>
      <c r="MU157" s="302"/>
      <c r="MV157" s="302"/>
      <c r="MW157" s="302"/>
      <c r="MX157" s="302"/>
      <c r="MY157" s="302"/>
      <c r="MZ157" s="302"/>
      <c r="NA157" s="302"/>
      <c r="NB157" s="302"/>
      <c r="NC157" s="302"/>
      <c r="ND157" s="302"/>
      <c r="NE157" s="302"/>
      <c r="NF157" s="302"/>
      <c r="NG157" s="302"/>
      <c r="NH157" s="302"/>
      <c r="NI157" s="302"/>
      <c r="NJ157" s="302"/>
      <c r="NK157" s="302"/>
      <c r="NL157" s="302"/>
      <c r="NM157" s="302"/>
      <c r="NN157" s="302"/>
      <c r="NO157" s="302"/>
      <c r="NP157" s="302"/>
      <c r="NQ157" s="302"/>
      <c r="NR157" s="302"/>
      <c r="NS157" s="302"/>
      <c r="NT157" s="302"/>
      <c r="NU157" s="302"/>
      <c r="NV157" s="302"/>
      <c r="NW157" s="302"/>
      <c r="NX157" s="302"/>
      <c r="NY157" s="568"/>
      <c r="NZ157" s="568"/>
      <c r="OA157" s="575"/>
      <c r="OB157" s="575"/>
      <c r="OC157" s="578"/>
      <c r="OD157" s="578"/>
    </row>
    <row r="158" spans="1:394" s="292" customFormat="1" ht="22.5" customHeight="1">
      <c r="A158" s="290"/>
      <c r="B158" s="290"/>
      <c r="D158" s="82"/>
      <c r="E158" s="82"/>
      <c r="F158" s="82"/>
      <c r="G158" s="44"/>
      <c r="H158" s="67"/>
      <c r="K158" s="16"/>
      <c r="L158" s="16"/>
      <c r="M158" s="290"/>
      <c r="N158" s="290"/>
      <c r="O158" s="16"/>
      <c r="P158" s="290"/>
      <c r="Q158" s="290"/>
      <c r="R158" s="290"/>
      <c r="S158" s="290"/>
      <c r="T158" s="290"/>
      <c r="U158" s="290"/>
      <c r="V158" s="290"/>
      <c r="Z158" s="291"/>
      <c r="AA158" s="290"/>
      <c r="AB158" s="290"/>
      <c r="AC158" s="290"/>
      <c r="AD158" s="290"/>
      <c r="AE158" s="290"/>
      <c r="AF158" s="290"/>
      <c r="AG158" s="290"/>
      <c r="AH158" s="290"/>
      <c r="AI158" s="290"/>
      <c r="AJ158" s="290"/>
      <c r="AK158" s="290"/>
      <c r="AL158" s="16"/>
      <c r="AN158" s="291"/>
      <c r="AO158" s="291"/>
      <c r="AQ158" s="22"/>
      <c r="AR158" s="22"/>
      <c r="AS158" s="22"/>
      <c r="AT158" s="22"/>
      <c r="AU158" s="22"/>
      <c r="AV158" s="97"/>
      <c r="AW158" s="97"/>
      <c r="AX158" s="97"/>
      <c r="AY158" s="97"/>
      <c r="AZ158" s="97"/>
      <c r="BA158" s="97"/>
      <c r="BC158" s="290"/>
      <c r="BD158" s="290"/>
      <c r="BE158" s="290"/>
      <c r="BF158" s="290"/>
      <c r="BG158" s="290"/>
      <c r="BH158" s="290"/>
      <c r="BI158" s="290"/>
      <c r="BJ158" s="290"/>
      <c r="BK158" s="290"/>
      <c r="BL158" s="290"/>
      <c r="CN158" s="282"/>
      <c r="CO158" s="282"/>
      <c r="CP158" s="282"/>
      <c r="CZ158" s="409"/>
      <c r="DA158" s="409"/>
      <c r="DB158" s="409"/>
      <c r="DC158" s="409"/>
      <c r="DD158" s="409"/>
      <c r="DE158" s="409"/>
      <c r="DF158" s="409"/>
      <c r="DG158" s="409"/>
      <c r="DH158" s="409"/>
      <c r="DI158" s="409"/>
      <c r="DJ158" s="409"/>
      <c r="DK158" s="409"/>
      <c r="DL158" s="409"/>
      <c r="DM158" s="409"/>
      <c r="DN158" s="409"/>
      <c r="DO158" s="409"/>
      <c r="DP158" s="409"/>
      <c r="DQ158" s="409"/>
      <c r="DR158" s="409"/>
      <c r="DS158" s="409"/>
      <c r="DT158" s="409"/>
      <c r="DU158" s="409"/>
      <c r="DV158" s="409"/>
      <c r="DW158" s="409"/>
      <c r="DX158" s="409"/>
      <c r="DY158" s="409"/>
      <c r="DZ158" s="409"/>
      <c r="EA158" s="409"/>
      <c r="EB158" s="409"/>
      <c r="EC158" s="409"/>
      <c r="ED158" s="409"/>
      <c r="EE158" s="409"/>
      <c r="EF158" s="409"/>
      <c r="EG158" s="409"/>
      <c r="EH158" s="409"/>
      <c r="EI158" s="409"/>
      <c r="EJ158" s="409"/>
      <c r="EK158" s="409"/>
      <c r="EL158" s="409"/>
      <c r="EM158" s="409"/>
      <c r="EN158" s="409"/>
      <c r="EO158" s="409"/>
      <c r="EP158" s="409"/>
      <c r="EQ158" s="409"/>
      <c r="ER158" s="409"/>
      <c r="ES158" s="409"/>
      <c r="ET158" s="409"/>
      <c r="EU158" s="409"/>
      <c r="EV158" s="409"/>
      <c r="EW158" s="409"/>
      <c r="EX158" s="409"/>
      <c r="EY158" s="409"/>
      <c r="EZ158" s="409"/>
      <c r="FA158" s="409"/>
      <c r="FB158" s="409"/>
      <c r="FC158" s="409"/>
      <c r="FD158" s="409"/>
      <c r="FE158" s="409"/>
      <c r="FF158" s="409"/>
      <c r="FG158" s="409"/>
      <c r="FH158" s="409"/>
      <c r="FI158" s="409"/>
      <c r="FJ158" s="409"/>
      <c r="FK158" s="409"/>
      <c r="FL158" s="409"/>
      <c r="FM158" s="409"/>
      <c r="FN158" s="409"/>
      <c r="FO158" s="409"/>
      <c r="FP158" s="409"/>
      <c r="FQ158" s="409"/>
      <c r="FR158" s="409"/>
      <c r="FS158" s="409"/>
      <c r="FT158" s="409"/>
      <c r="FU158" s="409"/>
      <c r="FV158" s="409"/>
      <c r="FW158" s="409"/>
      <c r="FX158" s="409"/>
      <c r="FY158" s="409"/>
      <c r="FZ158" s="409"/>
      <c r="GA158" s="409"/>
      <c r="GB158" s="409"/>
      <c r="GC158" s="409"/>
      <c r="GD158" s="409"/>
      <c r="GE158" s="409"/>
      <c r="GF158" s="409"/>
      <c r="GG158" s="409"/>
      <c r="GH158" s="409"/>
      <c r="GI158" s="409"/>
      <c r="GJ158" s="409"/>
      <c r="GK158" s="409"/>
      <c r="GL158" s="409"/>
      <c r="GM158" s="409"/>
      <c r="GN158" s="409"/>
      <c r="GO158" s="409"/>
      <c r="GP158" s="409"/>
      <c r="GQ158" s="409"/>
      <c r="GR158" s="409"/>
      <c r="GS158" s="409"/>
      <c r="GT158" s="409"/>
      <c r="GU158" s="409"/>
      <c r="GV158" s="409"/>
      <c r="GW158" s="409"/>
      <c r="GX158" s="409"/>
      <c r="GY158" s="409"/>
      <c r="GZ158" s="409"/>
      <c r="HA158" s="409"/>
      <c r="HB158" s="409"/>
      <c r="HC158" s="409"/>
      <c r="HD158" s="409"/>
      <c r="HE158" s="409"/>
      <c r="HF158" s="409"/>
      <c r="HG158" s="409"/>
      <c r="HH158" s="409"/>
      <c r="HI158" s="409"/>
      <c r="HJ158" s="409"/>
      <c r="HK158" s="409"/>
      <c r="HL158" s="409"/>
      <c r="HM158" s="409"/>
      <c r="HN158" s="409"/>
      <c r="HO158" s="409"/>
      <c r="HP158" s="409"/>
      <c r="HQ158" s="409"/>
      <c r="HR158" s="409"/>
      <c r="HS158" s="409"/>
      <c r="HT158" s="409"/>
      <c r="HU158" s="409"/>
      <c r="HV158" s="409"/>
      <c r="HW158" s="409"/>
      <c r="HX158" s="409"/>
      <c r="HY158" s="409"/>
      <c r="HZ158" s="409"/>
      <c r="IA158" s="409"/>
      <c r="IB158" s="409"/>
      <c r="IC158" s="409"/>
      <c r="ID158" s="409"/>
      <c r="IE158" s="409"/>
      <c r="IF158" s="409"/>
      <c r="IG158" s="409"/>
      <c r="IH158" s="409"/>
      <c r="II158" s="409"/>
      <c r="IJ158" s="409"/>
      <c r="IK158" s="409"/>
      <c r="IL158" s="409"/>
      <c r="IM158" s="409"/>
      <c r="IN158" s="409"/>
      <c r="IO158" s="409"/>
      <c r="IP158" s="409"/>
      <c r="IQ158" s="409"/>
      <c r="IR158" s="409"/>
      <c r="IS158" s="409"/>
      <c r="IT158" s="409"/>
      <c r="IU158" s="409"/>
      <c r="IV158" s="409"/>
      <c r="IW158" s="409"/>
      <c r="IX158" s="409"/>
      <c r="IY158" s="409"/>
      <c r="IZ158" s="409"/>
      <c r="JA158" s="409"/>
      <c r="JB158" s="409"/>
      <c r="JC158" s="409"/>
      <c r="JD158" s="409"/>
      <c r="JE158" s="409"/>
      <c r="JF158" s="409"/>
      <c r="JG158" s="409"/>
      <c r="JH158" s="409"/>
      <c r="JI158" s="409"/>
      <c r="JJ158" s="409"/>
      <c r="JK158" s="409"/>
      <c r="JL158" s="409"/>
      <c r="JM158" s="409"/>
      <c r="JN158" s="409"/>
      <c r="JO158" s="409"/>
      <c r="JP158" s="409"/>
      <c r="JQ158" s="409"/>
      <c r="JR158" s="409"/>
      <c r="JS158" s="409"/>
      <c r="JT158" s="409"/>
      <c r="JU158" s="409"/>
      <c r="JV158" s="409"/>
      <c r="JW158" s="409"/>
      <c r="JX158" s="409"/>
      <c r="JY158" s="409"/>
      <c r="JZ158" s="409"/>
      <c r="KA158" s="409"/>
      <c r="KB158" s="409"/>
      <c r="KC158" s="409"/>
      <c r="KD158" s="409"/>
      <c r="KE158" s="409"/>
      <c r="KF158" s="409"/>
      <c r="KG158" s="409"/>
      <c r="KH158" s="409"/>
      <c r="KI158" s="409"/>
      <c r="KJ158" s="409"/>
      <c r="KK158" s="409"/>
      <c r="KL158" s="409"/>
      <c r="KM158" s="409"/>
      <c r="KN158" s="409"/>
      <c r="KO158" s="409"/>
      <c r="KP158" s="409"/>
      <c r="KQ158" s="409"/>
      <c r="KR158" s="409"/>
      <c r="KS158" s="409"/>
      <c r="KT158" s="409"/>
      <c r="KU158" s="409"/>
      <c r="KV158" s="409"/>
      <c r="KW158" s="409"/>
      <c r="KX158" s="409"/>
      <c r="KY158" s="409"/>
      <c r="KZ158" s="409"/>
      <c r="LA158" s="409"/>
      <c r="LB158" s="409"/>
      <c r="LC158" s="409"/>
      <c r="LD158" s="409"/>
      <c r="LE158" s="302"/>
      <c r="LF158" s="302"/>
      <c r="LG158" s="302"/>
      <c r="LH158" s="302"/>
      <c r="LI158" s="302"/>
      <c r="LJ158" s="302"/>
      <c r="LK158" s="302"/>
      <c r="LL158" s="302"/>
      <c r="LM158" s="302"/>
      <c r="LN158" s="302"/>
      <c r="LO158" s="302"/>
      <c r="LP158" s="302"/>
      <c r="LQ158" s="302"/>
      <c r="LR158" s="302"/>
      <c r="LS158" s="302"/>
      <c r="LT158" s="302"/>
      <c r="LU158" s="302"/>
      <c r="LV158" s="302"/>
      <c r="LW158" s="302"/>
      <c r="LX158" s="302"/>
      <c r="LY158" s="302"/>
      <c r="LZ158" s="302"/>
      <c r="MA158" s="302"/>
      <c r="MB158" s="302"/>
      <c r="MC158" s="302"/>
      <c r="MD158" s="302"/>
      <c r="ME158" s="302"/>
      <c r="MF158" s="302"/>
      <c r="MG158" s="302"/>
      <c r="MH158" s="302"/>
      <c r="MI158" s="302"/>
      <c r="MJ158" s="302"/>
      <c r="MK158" s="302"/>
      <c r="ML158" s="302"/>
      <c r="MM158" s="302"/>
      <c r="MN158" s="302"/>
      <c r="MO158" s="302"/>
      <c r="MP158" s="302"/>
      <c r="MQ158" s="302"/>
      <c r="MR158" s="302"/>
      <c r="MS158" s="302"/>
      <c r="MT158" s="302"/>
      <c r="MU158" s="302"/>
      <c r="MV158" s="302"/>
      <c r="MW158" s="302"/>
      <c r="MX158" s="302"/>
      <c r="MY158" s="302"/>
      <c r="MZ158" s="302"/>
      <c r="NA158" s="302"/>
      <c r="NB158" s="302"/>
      <c r="NC158" s="302"/>
      <c r="ND158" s="302"/>
      <c r="NE158" s="302"/>
      <c r="NF158" s="302"/>
      <c r="NG158" s="302"/>
      <c r="NH158" s="302"/>
      <c r="NI158" s="302"/>
      <c r="NJ158" s="302"/>
      <c r="NK158" s="302"/>
      <c r="NL158" s="302"/>
      <c r="NM158" s="302"/>
      <c r="NN158" s="302"/>
      <c r="NO158" s="302"/>
      <c r="NP158" s="302"/>
      <c r="NQ158" s="302"/>
      <c r="NR158" s="302"/>
      <c r="NS158" s="302"/>
      <c r="NT158" s="302"/>
      <c r="NU158" s="302"/>
      <c r="NV158" s="302"/>
      <c r="NW158" s="302"/>
      <c r="NX158" s="302"/>
      <c r="NY158" s="568"/>
      <c r="NZ158" s="568"/>
      <c r="OA158" s="575"/>
      <c r="OB158" s="575"/>
      <c r="OC158" s="578"/>
      <c r="OD158" s="578"/>
    </row>
    <row r="159" spans="1:394" s="292" customFormat="1" ht="22.5" customHeight="1">
      <c r="A159" s="290"/>
      <c r="B159" s="290"/>
      <c r="D159" s="82"/>
      <c r="E159" s="82"/>
      <c r="F159" s="82"/>
      <c r="G159" s="44"/>
      <c r="H159" s="67"/>
      <c r="K159" s="16"/>
      <c r="L159" s="16"/>
      <c r="M159" s="290"/>
      <c r="N159" s="290"/>
      <c r="O159" s="16"/>
      <c r="P159" s="290"/>
      <c r="Q159" s="290"/>
      <c r="R159" s="290"/>
      <c r="S159" s="290"/>
      <c r="T159" s="290"/>
      <c r="U159" s="290"/>
      <c r="V159" s="290"/>
      <c r="Z159" s="291"/>
      <c r="AA159" s="290"/>
      <c r="AB159" s="290"/>
      <c r="AC159" s="290"/>
      <c r="AD159" s="290"/>
      <c r="AE159" s="290"/>
      <c r="AF159" s="290"/>
      <c r="AG159" s="290"/>
      <c r="AH159" s="290"/>
      <c r="AI159" s="290"/>
      <c r="AJ159" s="290"/>
      <c r="AK159" s="290"/>
      <c r="AL159" s="16"/>
      <c r="AN159" s="291"/>
      <c r="AO159" s="291"/>
      <c r="AQ159" s="22"/>
      <c r="AR159" s="22"/>
      <c r="AS159" s="22"/>
      <c r="AT159" s="22"/>
      <c r="AU159" s="22"/>
      <c r="AV159" s="97"/>
      <c r="AW159" s="97"/>
      <c r="AX159" s="97"/>
      <c r="AY159" s="97"/>
      <c r="AZ159" s="97"/>
      <c r="BA159" s="97"/>
      <c r="BC159" s="290"/>
      <c r="BD159" s="290"/>
      <c r="BE159" s="290"/>
      <c r="BF159" s="290"/>
      <c r="BG159" s="290"/>
      <c r="BH159" s="290"/>
      <c r="BI159" s="290"/>
      <c r="BJ159" s="290"/>
      <c r="BK159" s="290"/>
      <c r="BL159" s="290"/>
      <c r="CN159" s="282"/>
      <c r="CO159" s="282"/>
      <c r="CP159" s="282"/>
      <c r="CZ159" s="409"/>
      <c r="DA159" s="409"/>
      <c r="DB159" s="409"/>
      <c r="DC159" s="409"/>
      <c r="DD159" s="409"/>
      <c r="DE159" s="409"/>
      <c r="DF159" s="409"/>
      <c r="DG159" s="409"/>
      <c r="DH159" s="409"/>
      <c r="DI159" s="409"/>
      <c r="DJ159" s="409"/>
      <c r="DK159" s="409"/>
      <c r="DL159" s="409"/>
      <c r="DM159" s="409"/>
      <c r="DN159" s="409"/>
      <c r="DO159" s="409"/>
      <c r="DP159" s="409"/>
      <c r="DQ159" s="409"/>
      <c r="DR159" s="409"/>
      <c r="DS159" s="409"/>
      <c r="DT159" s="409"/>
      <c r="DU159" s="409"/>
      <c r="DV159" s="409"/>
      <c r="DW159" s="409"/>
      <c r="DX159" s="409"/>
      <c r="DY159" s="409"/>
      <c r="DZ159" s="409"/>
      <c r="EA159" s="409"/>
      <c r="EB159" s="409"/>
      <c r="EC159" s="409"/>
      <c r="ED159" s="409"/>
      <c r="EE159" s="409"/>
      <c r="EF159" s="409"/>
      <c r="EG159" s="409"/>
      <c r="EH159" s="409"/>
      <c r="EI159" s="409"/>
      <c r="EJ159" s="409"/>
      <c r="EK159" s="409"/>
      <c r="EL159" s="409"/>
      <c r="EM159" s="409"/>
      <c r="EN159" s="409"/>
      <c r="EO159" s="409"/>
      <c r="EP159" s="409"/>
      <c r="EQ159" s="409"/>
      <c r="ER159" s="409"/>
      <c r="ES159" s="409"/>
      <c r="ET159" s="409"/>
      <c r="EU159" s="409"/>
      <c r="EV159" s="409"/>
      <c r="EW159" s="409"/>
      <c r="EX159" s="409"/>
      <c r="EY159" s="409"/>
      <c r="EZ159" s="409"/>
      <c r="FA159" s="409"/>
      <c r="FB159" s="409"/>
      <c r="FC159" s="409"/>
      <c r="FD159" s="409"/>
      <c r="FE159" s="409"/>
      <c r="FF159" s="409"/>
      <c r="FG159" s="409"/>
      <c r="FH159" s="409"/>
      <c r="FI159" s="409"/>
      <c r="FJ159" s="409"/>
      <c r="FK159" s="409"/>
      <c r="FL159" s="409"/>
      <c r="FM159" s="409"/>
      <c r="FN159" s="409"/>
      <c r="FO159" s="409"/>
      <c r="FP159" s="409"/>
      <c r="FQ159" s="409"/>
      <c r="FR159" s="409"/>
      <c r="FS159" s="409"/>
      <c r="FT159" s="409"/>
      <c r="FU159" s="409"/>
      <c r="FV159" s="409"/>
      <c r="FW159" s="409"/>
      <c r="FX159" s="409"/>
      <c r="FY159" s="409"/>
      <c r="FZ159" s="409"/>
      <c r="GA159" s="409"/>
      <c r="GB159" s="409"/>
      <c r="GC159" s="409"/>
      <c r="GD159" s="409"/>
      <c r="GE159" s="409"/>
      <c r="GF159" s="409"/>
      <c r="GG159" s="409"/>
      <c r="GH159" s="409"/>
      <c r="GI159" s="409"/>
      <c r="GJ159" s="409"/>
      <c r="GK159" s="409"/>
      <c r="GL159" s="409"/>
      <c r="GM159" s="409"/>
      <c r="GN159" s="409"/>
      <c r="GO159" s="409"/>
      <c r="GP159" s="409"/>
      <c r="GQ159" s="409"/>
      <c r="GR159" s="409"/>
      <c r="GS159" s="409"/>
      <c r="GT159" s="409"/>
      <c r="GU159" s="409"/>
      <c r="GV159" s="409"/>
      <c r="GW159" s="409"/>
      <c r="GX159" s="409"/>
      <c r="GY159" s="409"/>
      <c r="GZ159" s="409"/>
      <c r="HA159" s="409"/>
      <c r="HB159" s="409"/>
      <c r="HC159" s="409"/>
      <c r="HD159" s="409"/>
      <c r="HE159" s="409"/>
      <c r="HF159" s="409"/>
      <c r="HG159" s="409"/>
      <c r="HH159" s="409"/>
      <c r="HI159" s="409"/>
      <c r="HJ159" s="409"/>
      <c r="HK159" s="409"/>
      <c r="HL159" s="409"/>
      <c r="HM159" s="409"/>
      <c r="HN159" s="409"/>
      <c r="HO159" s="409"/>
      <c r="HP159" s="409"/>
      <c r="HQ159" s="409"/>
      <c r="HR159" s="409"/>
      <c r="HS159" s="409"/>
      <c r="HT159" s="409"/>
      <c r="HU159" s="409"/>
      <c r="HV159" s="409"/>
      <c r="HW159" s="409"/>
      <c r="HX159" s="409"/>
      <c r="HY159" s="409"/>
      <c r="HZ159" s="409"/>
      <c r="IA159" s="409"/>
      <c r="IB159" s="409"/>
      <c r="IC159" s="409"/>
      <c r="ID159" s="409"/>
      <c r="IE159" s="409"/>
      <c r="IF159" s="409"/>
      <c r="IG159" s="409"/>
      <c r="IH159" s="409"/>
      <c r="II159" s="409"/>
      <c r="IJ159" s="409"/>
      <c r="IK159" s="409"/>
      <c r="IL159" s="409"/>
      <c r="IM159" s="409"/>
      <c r="IN159" s="409"/>
      <c r="IO159" s="409"/>
      <c r="IP159" s="409"/>
      <c r="IQ159" s="409"/>
      <c r="IR159" s="409"/>
      <c r="IS159" s="409"/>
      <c r="IT159" s="409"/>
      <c r="IU159" s="409"/>
      <c r="IV159" s="409"/>
      <c r="IW159" s="409"/>
      <c r="IX159" s="409"/>
      <c r="IY159" s="409"/>
      <c r="IZ159" s="409"/>
      <c r="JA159" s="409"/>
      <c r="JB159" s="409"/>
      <c r="JC159" s="409"/>
      <c r="JD159" s="409"/>
      <c r="JE159" s="409"/>
      <c r="JF159" s="409"/>
      <c r="JG159" s="409"/>
      <c r="JH159" s="409"/>
      <c r="JI159" s="409"/>
      <c r="JJ159" s="409"/>
      <c r="JK159" s="409"/>
      <c r="JL159" s="409"/>
      <c r="JM159" s="409"/>
      <c r="JN159" s="409"/>
      <c r="JO159" s="409"/>
      <c r="JP159" s="409"/>
      <c r="JQ159" s="409"/>
      <c r="JR159" s="409"/>
      <c r="JS159" s="409"/>
      <c r="JT159" s="409"/>
      <c r="JU159" s="409"/>
      <c r="JV159" s="409"/>
      <c r="JW159" s="409"/>
      <c r="JX159" s="409"/>
      <c r="JY159" s="409"/>
      <c r="JZ159" s="409"/>
      <c r="KA159" s="409"/>
      <c r="KB159" s="409"/>
      <c r="KC159" s="409"/>
      <c r="KD159" s="409"/>
      <c r="KE159" s="409"/>
      <c r="KF159" s="409"/>
      <c r="KG159" s="409"/>
      <c r="KH159" s="409"/>
      <c r="KI159" s="409"/>
      <c r="KJ159" s="409"/>
      <c r="KK159" s="409"/>
      <c r="KL159" s="409"/>
      <c r="KM159" s="409"/>
      <c r="KN159" s="409"/>
      <c r="KO159" s="409"/>
      <c r="KP159" s="409"/>
      <c r="KQ159" s="409"/>
      <c r="KR159" s="409"/>
      <c r="KS159" s="409"/>
      <c r="KT159" s="409"/>
      <c r="KU159" s="409"/>
      <c r="KV159" s="409"/>
      <c r="KW159" s="409"/>
      <c r="KX159" s="409"/>
      <c r="KY159" s="409"/>
      <c r="KZ159" s="409"/>
      <c r="LA159" s="409"/>
      <c r="LB159" s="409"/>
      <c r="LC159" s="409"/>
      <c r="LD159" s="409"/>
      <c r="LE159" s="302"/>
      <c r="LF159" s="302"/>
      <c r="LG159" s="302"/>
      <c r="LH159" s="302"/>
      <c r="LI159" s="302"/>
      <c r="LJ159" s="302"/>
      <c r="LK159" s="302"/>
      <c r="LL159" s="302"/>
      <c r="LM159" s="302"/>
      <c r="LN159" s="302"/>
      <c r="LO159" s="302"/>
      <c r="LP159" s="302"/>
      <c r="LQ159" s="302"/>
      <c r="LR159" s="302"/>
      <c r="LS159" s="302"/>
      <c r="LT159" s="302"/>
      <c r="LU159" s="302"/>
      <c r="LV159" s="302"/>
      <c r="LW159" s="302"/>
      <c r="LX159" s="302"/>
      <c r="LY159" s="302"/>
      <c r="LZ159" s="302"/>
      <c r="MA159" s="302"/>
      <c r="MB159" s="302"/>
      <c r="MC159" s="302"/>
      <c r="MD159" s="302"/>
      <c r="ME159" s="302"/>
      <c r="MF159" s="302"/>
      <c r="MG159" s="302"/>
      <c r="MH159" s="302"/>
      <c r="MI159" s="302"/>
      <c r="MJ159" s="302"/>
      <c r="MK159" s="302"/>
      <c r="ML159" s="302"/>
      <c r="MM159" s="302"/>
      <c r="MN159" s="302"/>
      <c r="MO159" s="302"/>
      <c r="MP159" s="302"/>
      <c r="MQ159" s="302"/>
      <c r="MR159" s="302"/>
      <c r="MS159" s="302"/>
      <c r="MT159" s="302"/>
      <c r="MU159" s="302"/>
      <c r="MV159" s="302"/>
      <c r="MW159" s="302"/>
      <c r="MX159" s="302"/>
      <c r="MY159" s="302"/>
      <c r="MZ159" s="302"/>
      <c r="NA159" s="302"/>
      <c r="NB159" s="302"/>
      <c r="NC159" s="302"/>
      <c r="ND159" s="302"/>
      <c r="NE159" s="302"/>
      <c r="NF159" s="302"/>
      <c r="NG159" s="302"/>
      <c r="NH159" s="302"/>
      <c r="NI159" s="302"/>
      <c r="NJ159" s="302"/>
      <c r="NK159" s="302"/>
      <c r="NL159" s="302"/>
      <c r="NM159" s="302"/>
      <c r="NN159" s="302"/>
      <c r="NO159" s="302"/>
      <c r="NP159" s="302"/>
      <c r="NQ159" s="302"/>
      <c r="NR159" s="302"/>
      <c r="NS159" s="302"/>
      <c r="NT159" s="302"/>
      <c r="NU159" s="302"/>
      <c r="NV159" s="302"/>
      <c r="NW159" s="302"/>
      <c r="NX159" s="302"/>
      <c r="NY159" s="568"/>
      <c r="NZ159" s="568"/>
      <c r="OA159" s="575"/>
      <c r="OB159" s="575"/>
      <c r="OC159" s="578"/>
      <c r="OD159" s="578"/>
    </row>
    <row r="160" spans="1:394" s="292" customFormat="1" ht="22.5" customHeight="1">
      <c r="A160" s="290"/>
      <c r="B160" s="290"/>
      <c r="D160" s="82"/>
      <c r="E160" s="82"/>
      <c r="F160" s="82"/>
      <c r="G160" s="44"/>
      <c r="H160" s="67"/>
      <c r="K160" s="16"/>
      <c r="L160" s="16"/>
      <c r="M160" s="290"/>
      <c r="N160" s="290"/>
      <c r="O160" s="16"/>
      <c r="P160" s="290"/>
      <c r="Q160" s="290"/>
      <c r="R160" s="290"/>
      <c r="S160" s="290"/>
      <c r="T160" s="290"/>
      <c r="U160" s="290"/>
      <c r="V160" s="290"/>
      <c r="Z160" s="291"/>
      <c r="AA160" s="290"/>
      <c r="AB160" s="290"/>
      <c r="AC160" s="290"/>
      <c r="AD160" s="290"/>
      <c r="AE160" s="290"/>
      <c r="AF160" s="290"/>
      <c r="AG160" s="290"/>
      <c r="AH160" s="290"/>
      <c r="AI160" s="290"/>
      <c r="AJ160" s="290"/>
      <c r="AK160" s="290"/>
      <c r="AL160" s="16"/>
      <c r="AN160" s="291"/>
      <c r="AO160" s="291"/>
      <c r="AQ160" s="22"/>
      <c r="AR160" s="22"/>
      <c r="AS160" s="22"/>
      <c r="AT160" s="22"/>
      <c r="AU160" s="22"/>
      <c r="AV160" s="97"/>
      <c r="AW160" s="97"/>
      <c r="AX160" s="97"/>
      <c r="AY160" s="97"/>
      <c r="AZ160" s="97"/>
      <c r="BA160" s="97"/>
      <c r="BC160" s="290"/>
      <c r="BD160" s="290"/>
      <c r="BE160" s="290"/>
      <c r="BF160" s="290"/>
      <c r="BG160" s="290"/>
      <c r="BH160" s="290"/>
      <c r="BI160" s="290"/>
      <c r="BJ160" s="290"/>
      <c r="BK160" s="290"/>
      <c r="BL160" s="290"/>
      <c r="CF160" s="282"/>
      <c r="CG160" s="282"/>
      <c r="CH160" s="282"/>
      <c r="CI160" s="282"/>
      <c r="CJ160" s="282"/>
      <c r="CK160" s="282"/>
      <c r="CL160" s="282"/>
      <c r="CM160" s="282"/>
      <c r="CN160" s="282"/>
      <c r="CO160" s="282"/>
      <c r="CP160" s="282"/>
      <c r="CZ160" s="409"/>
      <c r="DA160" s="409"/>
      <c r="DB160" s="409"/>
      <c r="DC160" s="409"/>
      <c r="DD160" s="409"/>
      <c r="DE160" s="409"/>
      <c r="DF160" s="409"/>
      <c r="DG160" s="409"/>
      <c r="DH160" s="409"/>
      <c r="DI160" s="409"/>
      <c r="DJ160" s="409"/>
      <c r="DK160" s="409"/>
      <c r="DL160" s="409"/>
      <c r="DM160" s="409"/>
      <c r="DN160" s="409"/>
      <c r="DO160" s="409"/>
      <c r="DP160" s="409"/>
      <c r="DQ160" s="409"/>
      <c r="DR160" s="409"/>
      <c r="DS160" s="409"/>
      <c r="DT160" s="409"/>
      <c r="DU160" s="409"/>
      <c r="DV160" s="409"/>
      <c r="DW160" s="409"/>
      <c r="DX160" s="409"/>
      <c r="DY160" s="409"/>
      <c r="DZ160" s="409"/>
      <c r="EA160" s="409"/>
      <c r="EB160" s="409"/>
      <c r="EC160" s="409"/>
      <c r="ED160" s="409"/>
      <c r="EE160" s="409"/>
      <c r="EF160" s="409"/>
      <c r="EG160" s="409"/>
      <c r="EH160" s="409"/>
      <c r="EI160" s="409"/>
      <c r="EJ160" s="409"/>
      <c r="EK160" s="409"/>
      <c r="EL160" s="409"/>
      <c r="EM160" s="409"/>
      <c r="EN160" s="409"/>
      <c r="EO160" s="409"/>
      <c r="EP160" s="409"/>
      <c r="EQ160" s="409"/>
      <c r="ER160" s="409"/>
      <c r="ES160" s="409"/>
      <c r="ET160" s="409"/>
      <c r="EU160" s="409"/>
      <c r="EV160" s="409"/>
      <c r="EW160" s="409"/>
      <c r="EX160" s="409"/>
      <c r="EY160" s="409"/>
      <c r="EZ160" s="409"/>
      <c r="FA160" s="409"/>
      <c r="FB160" s="409"/>
      <c r="FC160" s="409"/>
      <c r="FD160" s="409"/>
      <c r="FE160" s="409"/>
      <c r="FF160" s="409"/>
      <c r="FG160" s="409"/>
      <c r="FH160" s="409"/>
      <c r="FI160" s="409"/>
      <c r="FJ160" s="409"/>
      <c r="FK160" s="409"/>
      <c r="FL160" s="409"/>
      <c r="FM160" s="409"/>
      <c r="FN160" s="409"/>
      <c r="FO160" s="409"/>
      <c r="FP160" s="409"/>
      <c r="FQ160" s="409"/>
      <c r="FR160" s="409"/>
      <c r="FS160" s="409"/>
      <c r="FT160" s="409"/>
      <c r="FU160" s="409"/>
      <c r="FV160" s="409"/>
      <c r="FW160" s="409"/>
      <c r="FX160" s="409"/>
      <c r="FY160" s="409"/>
      <c r="FZ160" s="409"/>
      <c r="GA160" s="409"/>
      <c r="GB160" s="409"/>
      <c r="GC160" s="409"/>
      <c r="GD160" s="409"/>
      <c r="GE160" s="409"/>
      <c r="GF160" s="409"/>
      <c r="GG160" s="409"/>
      <c r="GH160" s="409"/>
      <c r="GI160" s="409"/>
      <c r="GJ160" s="409"/>
      <c r="GK160" s="409"/>
      <c r="GL160" s="409"/>
      <c r="GM160" s="409"/>
      <c r="GN160" s="409"/>
      <c r="GO160" s="409"/>
      <c r="GP160" s="409"/>
      <c r="GQ160" s="409"/>
      <c r="GR160" s="409"/>
      <c r="GS160" s="409"/>
      <c r="GT160" s="409"/>
      <c r="GU160" s="409"/>
      <c r="GV160" s="409"/>
      <c r="GW160" s="409"/>
      <c r="GX160" s="409"/>
      <c r="GY160" s="409"/>
      <c r="GZ160" s="409"/>
      <c r="HA160" s="409"/>
      <c r="HB160" s="409"/>
      <c r="HC160" s="409"/>
      <c r="HD160" s="409"/>
      <c r="HE160" s="409"/>
      <c r="HF160" s="409"/>
      <c r="HG160" s="409"/>
      <c r="HH160" s="409"/>
      <c r="HI160" s="409"/>
      <c r="HJ160" s="409"/>
      <c r="HK160" s="409"/>
      <c r="HL160" s="409"/>
      <c r="HM160" s="409"/>
      <c r="HN160" s="409"/>
      <c r="HO160" s="409"/>
      <c r="HP160" s="409"/>
      <c r="HQ160" s="409"/>
      <c r="HR160" s="409"/>
      <c r="HS160" s="409"/>
      <c r="HT160" s="409"/>
      <c r="HU160" s="409"/>
      <c r="HV160" s="409"/>
      <c r="HW160" s="409"/>
      <c r="HX160" s="409"/>
      <c r="HY160" s="409"/>
      <c r="HZ160" s="409"/>
      <c r="IA160" s="409"/>
      <c r="IB160" s="409"/>
      <c r="IC160" s="409"/>
      <c r="ID160" s="409"/>
      <c r="IE160" s="409"/>
      <c r="IF160" s="409"/>
      <c r="IG160" s="409"/>
      <c r="IH160" s="409"/>
      <c r="II160" s="409"/>
      <c r="IJ160" s="409"/>
      <c r="IK160" s="409"/>
      <c r="IL160" s="409"/>
      <c r="IM160" s="409"/>
      <c r="IN160" s="409"/>
      <c r="IO160" s="409"/>
      <c r="IP160" s="409"/>
      <c r="IQ160" s="409"/>
      <c r="IR160" s="409"/>
      <c r="IS160" s="409"/>
      <c r="IT160" s="409"/>
      <c r="IU160" s="409"/>
      <c r="IV160" s="409"/>
      <c r="IW160" s="409"/>
      <c r="IX160" s="409"/>
      <c r="IY160" s="409"/>
      <c r="IZ160" s="409"/>
      <c r="JA160" s="409"/>
      <c r="JB160" s="409"/>
      <c r="JC160" s="409"/>
      <c r="JD160" s="409"/>
      <c r="JE160" s="409"/>
      <c r="JF160" s="409"/>
      <c r="JG160" s="409"/>
      <c r="JH160" s="409"/>
      <c r="JI160" s="409"/>
      <c r="JJ160" s="409"/>
      <c r="JK160" s="409"/>
      <c r="JL160" s="409"/>
      <c r="JM160" s="409"/>
      <c r="JN160" s="409"/>
      <c r="JO160" s="409"/>
      <c r="JP160" s="409"/>
      <c r="JQ160" s="409"/>
      <c r="JR160" s="409"/>
      <c r="JS160" s="409"/>
      <c r="JT160" s="409"/>
      <c r="JU160" s="409"/>
      <c r="JV160" s="409"/>
      <c r="JW160" s="409"/>
      <c r="JX160" s="409"/>
      <c r="JY160" s="409"/>
      <c r="JZ160" s="409"/>
      <c r="KA160" s="409"/>
      <c r="KB160" s="409"/>
      <c r="KC160" s="409"/>
      <c r="KD160" s="409"/>
      <c r="KE160" s="409"/>
      <c r="KF160" s="409"/>
      <c r="KG160" s="409"/>
      <c r="KH160" s="409"/>
      <c r="KI160" s="409"/>
      <c r="KJ160" s="409"/>
      <c r="KK160" s="409"/>
      <c r="KL160" s="409"/>
      <c r="KM160" s="409"/>
      <c r="KN160" s="409"/>
      <c r="KO160" s="409"/>
      <c r="KP160" s="409"/>
      <c r="KQ160" s="409"/>
      <c r="KR160" s="409"/>
      <c r="KS160" s="409"/>
      <c r="KT160" s="409"/>
      <c r="KU160" s="409"/>
      <c r="KV160" s="409"/>
      <c r="KW160" s="409"/>
      <c r="KX160" s="409"/>
      <c r="KY160" s="409"/>
      <c r="KZ160" s="409"/>
      <c r="LA160" s="409"/>
      <c r="LB160" s="409"/>
      <c r="LC160" s="409"/>
      <c r="LD160" s="409"/>
      <c r="LE160" s="302"/>
      <c r="LF160" s="302"/>
      <c r="LG160" s="302"/>
      <c r="LH160" s="302"/>
      <c r="LI160" s="302"/>
      <c r="LJ160" s="302"/>
      <c r="LK160" s="302"/>
      <c r="LL160" s="302"/>
      <c r="LM160" s="302"/>
      <c r="LN160" s="302"/>
      <c r="LO160" s="302"/>
      <c r="LP160" s="302"/>
      <c r="LQ160" s="302"/>
      <c r="LR160" s="302"/>
      <c r="LS160" s="302"/>
      <c r="LT160" s="302"/>
      <c r="LU160" s="302"/>
      <c r="LV160" s="302"/>
      <c r="LW160" s="302"/>
      <c r="LX160" s="302"/>
      <c r="LY160" s="302"/>
      <c r="LZ160" s="302"/>
      <c r="MA160" s="302"/>
      <c r="MB160" s="302"/>
      <c r="MC160" s="302"/>
      <c r="MD160" s="302"/>
      <c r="ME160" s="302"/>
      <c r="MF160" s="302"/>
      <c r="MG160" s="302"/>
      <c r="MH160" s="302"/>
      <c r="MI160" s="302"/>
      <c r="MJ160" s="302"/>
      <c r="MK160" s="302"/>
      <c r="ML160" s="302"/>
      <c r="MM160" s="302"/>
      <c r="MN160" s="302"/>
      <c r="MO160" s="302"/>
      <c r="MP160" s="302"/>
      <c r="MQ160" s="302"/>
      <c r="MR160" s="302"/>
      <c r="MS160" s="302"/>
      <c r="MT160" s="302"/>
      <c r="MU160" s="302"/>
      <c r="MV160" s="302"/>
      <c r="MW160" s="302"/>
      <c r="MX160" s="302"/>
      <c r="MY160" s="302"/>
      <c r="MZ160" s="302"/>
      <c r="NA160" s="302"/>
      <c r="NB160" s="302"/>
      <c r="NC160" s="302"/>
      <c r="ND160" s="302"/>
      <c r="NE160" s="302"/>
      <c r="NF160" s="302"/>
      <c r="NG160" s="302"/>
      <c r="NH160" s="302"/>
      <c r="NI160" s="302"/>
      <c r="NJ160" s="302"/>
      <c r="NK160" s="302"/>
      <c r="NL160" s="302"/>
      <c r="NM160" s="302"/>
      <c r="NN160" s="302"/>
      <c r="NO160" s="302"/>
      <c r="NP160" s="302"/>
      <c r="NQ160" s="302"/>
      <c r="NR160" s="302"/>
      <c r="NS160" s="302"/>
      <c r="NT160" s="302"/>
      <c r="NU160" s="302"/>
      <c r="NV160" s="302"/>
      <c r="NW160" s="302"/>
      <c r="NX160" s="302"/>
      <c r="NY160" s="568"/>
      <c r="NZ160" s="568"/>
      <c r="OA160" s="575"/>
      <c r="OB160" s="575"/>
      <c r="OC160" s="578"/>
      <c r="OD160" s="578"/>
    </row>
    <row r="161" spans="1:394" s="20" customFormat="1" ht="21.75" customHeight="1">
      <c r="A161" s="15"/>
      <c r="B161" s="15"/>
      <c r="C161" s="15"/>
      <c r="D161" s="43"/>
      <c r="E161" s="43"/>
      <c r="F161" s="43"/>
      <c r="G161" s="44"/>
      <c r="H161" s="84"/>
      <c r="I161" s="15"/>
      <c r="J161" s="15"/>
      <c r="K161" s="16"/>
      <c r="L161" s="16"/>
      <c r="M161" s="15"/>
      <c r="N161" s="15"/>
      <c r="O161" s="16"/>
      <c r="P161" s="15"/>
      <c r="Q161" s="15"/>
      <c r="R161" s="15"/>
      <c r="S161" s="15"/>
      <c r="T161" s="15"/>
      <c r="U161" s="15"/>
      <c r="V161" s="15"/>
      <c r="W161" s="15"/>
      <c r="X161" s="15"/>
      <c r="Y161" s="15"/>
      <c r="Z161" s="16"/>
      <c r="AA161" s="15"/>
      <c r="AB161" s="15"/>
      <c r="AC161" s="15"/>
      <c r="AD161" s="15"/>
      <c r="AE161" s="15"/>
      <c r="AF161" s="15"/>
      <c r="AG161" s="15"/>
      <c r="AH161" s="15"/>
      <c r="AI161" s="15"/>
      <c r="AJ161" s="15"/>
      <c r="AK161" s="15"/>
      <c r="AL161" s="16"/>
      <c r="AM161" s="15"/>
      <c r="AN161" s="16"/>
      <c r="AO161" s="16"/>
      <c r="BB161" s="15"/>
      <c r="BC161" s="15"/>
      <c r="BD161" s="15"/>
      <c r="BE161" s="15"/>
      <c r="BF161" s="15"/>
      <c r="BG161" s="15"/>
      <c r="BH161" s="15"/>
      <c r="BI161" s="15"/>
      <c r="BJ161" s="15"/>
      <c r="BK161" s="15"/>
      <c r="BL161" s="15"/>
      <c r="CB161" s="292"/>
      <c r="CF161" s="282"/>
      <c r="CG161" s="282"/>
      <c r="CH161" s="282"/>
      <c r="CI161" s="282"/>
      <c r="CJ161" s="282"/>
      <c r="CK161" s="282"/>
      <c r="CL161" s="282"/>
      <c r="CM161" s="282"/>
      <c r="CN161" s="282"/>
      <c r="CO161" s="282"/>
      <c r="CP161" s="282"/>
      <c r="CY161" s="15"/>
      <c r="CZ161" s="202"/>
      <c r="EG161" s="292"/>
      <c r="EH161" s="292"/>
      <c r="EI161" s="292"/>
      <c r="EJ161" s="292"/>
      <c r="EK161" s="292"/>
      <c r="EL161" s="292"/>
      <c r="EM161" s="292"/>
      <c r="EN161" s="292"/>
      <c r="EO161" s="292"/>
      <c r="EP161" s="292"/>
      <c r="EQ161" s="292"/>
      <c r="ER161" s="292"/>
      <c r="ES161" s="292"/>
      <c r="ET161" s="292"/>
      <c r="EU161" s="292"/>
      <c r="EV161" s="292"/>
      <c r="EW161" s="292"/>
      <c r="EX161" s="292"/>
      <c r="FA161" s="292"/>
      <c r="FB161" s="292"/>
      <c r="FC161" s="292"/>
      <c r="FD161" s="292"/>
      <c r="FE161" s="292"/>
      <c r="FF161" s="292"/>
      <c r="FG161" s="292"/>
      <c r="FH161" s="292"/>
      <c r="FI161" s="292"/>
      <c r="FJ161" s="292"/>
      <c r="FK161" s="292"/>
      <c r="FL161" s="292"/>
      <c r="FM161" s="292"/>
      <c r="FN161" s="292"/>
      <c r="FO161" s="292"/>
      <c r="FP161" s="292"/>
      <c r="FQ161" s="292"/>
      <c r="FR161" s="292"/>
      <c r="FS161" s="292"/>
      <c r="FT161" s="292"/>
      <c r="FU161" s="292"/>
      <c r="FV161" s="292"/>
      <c r="FW161" s="292"/>
      <c r="FX161" s="292"/>
      <c r="FY161" s="292"/>
      <c r="FZ161" s="292"/>
      <c r="GA161" s="292"/>
      <c r="GB161" s="292"/>
      <c r="GC161" s="292"/>
      <c r="GD161" s="292"/>
      <c r="GE161" s="292"/>
      <c r="GF161" s="292"/>
      <c r="GG161" s="292"/>
      <c r="GH161" s="292"/>
      <c r="GI161" s="292"/>
      <c r="GJ161" s="292"/>
      <c r="GK161" s="292"/>
      <c r="GL161" s="292"/>
      <c r="GM161" s="292"/>
      <c r="GN161" s="292"/>
      <c r="GO161" s="292"/>
      <c r="GP161" s="292"/>
      <c r="GQ161" s="292"/>
      <c r="GR161" s="292"/>
      <c r="GS161" s="292"/>
      <c r="GT161" s="292"/>
      <c r="GU161" s="292"/>
      <c r="GV161" s="292"/>
      <c r="GW161" s="292"/>
      <c r="GX161" s="292"/>
      <c r="GY161" s="292"/>
      <c r="GZ161" s="292"/>
      <c r="HA161" s="292"/>
      <c r="HB161" s="292"/>
      <c r="HC161" s="292"/>
      <c r="HD161" s="292"/>
      <c r="HE161" s="292"/>
      <c r="HF161" s="292"/>
      <c r="HG161" s="292"/>
      <c r="HH161" s="292"/>
      <c r="HI161" s="292"/>
      <c r="HJ161" s="292"/>
      <c r="HK161" s="292"/>
      <c r="HL161" s="292"/>
      <c r="HM161" s="292"/>
      <c r="HN161" s="292"/>
      <c r="HO161" s="292"/>
      <c r="HP161" s="292"/>
      <c r="HQ161" s="292"/>
      <c r="HR161" s="292"/>
      <c r="HS161" s="292"/>
      <c r="HT161" s="292"/>
      <c r="HU161" s="292"/>
      <c r="HV161" s="292"/>
      <c r="HW161" s="292"/>
      <c r="HX161" s="292"/>
      <c r="HY161" s="292"/>
      <c r="HZ161" s="292"/>
      <c r="IA161" s="292"/>
      <c r="IB161" s="292"/>
      <c r="IC161" s="292"/>
      <c r="ID161" s="292"/>
      <c r="IE161" s="292"/>
      <c r="IF161" s="292"/>
      <c r="IG161" s="292"/>
      <c r="IH161" s="292"/>
      <c r="II161" s="292"/>
      <c r="IJ161" s="292"/>
      <c r="IK161" s="292"/>
      <c r="IL161" s="292"/>
      <c r="IM161" s="292"/>
      <c r="IN161" s="292"/>
      <c r="IO161" s="292"/>
      <c r="IP161" s="292"/>
      <c r="IQ161" s="292"/>
      <c r="IR161" s="292"/>
      <c r="IS161" s="292"/>
      <c r="IT161" s="292"/>
      <c r="IU161" s="292"/>
      <c r="IV161" s="292"/>
      <c r="IW161" s="292"/>
      <c r="IX161" s="292"/>
      <c r="IY161" s="292"/>
      <c r="IZ161" s="292"/>
      <c r="JA161" s="292"/>
      <c r="JB161" s="292"/>
      <c r="JC161" s="292"/>
      <c r="JD161" s="292"/>
      <c r="JE161" s="292"/>
      <c r="JF161" s="292"/>
      <c r="JG161" s="292"/>
      <c r="JH161" s="292"/>
      <c r="JI161" s="292"/>
      <c r="JJ161" s="292"/>
      <c r="JK161" s="292"/>
      <c r="JL161" s="292"/>
      <c r="JM161" s="292"/>
      <c r="JN161" s="292"/>
      <c r="JO161" s="292"/>
      <c r="JP161" s="292"/>
      <c r="JQ161" s="292"/>
      <c r="JR161" s="292"/>
      <c r="JS161" s="292"/>
      <c r="JT161" s="292"/>
      <c r="JU161" s="292"/>
      <c r="JV161" s="292"/>
      <c r="JW161" s="292"/>
      <c r="JX161" s="292"/>
      <c r="JY161" s="292"/>
      <c r="JZ161" s="292"/>
      <c r="KA161" s="292"/>
      <c r="KB161" s="292"/>
      <c r="KC161" s="292"/>
      <c r="KD161" s="292"/>
      <c r="KE161" s="292"/>
      <c r="KF161" s="292"/>
      <c r="KG161" s="292"/>
      <c r="KH161" s="292"/>
      <c r="KI161" s="292"/>
      <c r="KJ161" s="292"/>
      <c r="KK161" s="292"/>
      <c r="KL161" s="292"/>
      <c r="KM161" s="292"/>
      <c r="KN161" s="292"/>
      <c r="KO161" s="292"/>
      <c r="KP161" s="292"/>
      <c r="KQ161" s="292"/>
      <c r="KR161" s="292"/>
      <c r="KS161" s="292"/>
      <c r="KT161" s="292"/>
      <c r="KU161" s="292"/>
      <c r="KV161" s="292"/>
      <c r="KW161" s="292"/>
      <c r="KX161" s="292"/>
      <c r="KY161" s="292"/>
      <c r="KZ161" s="292"/>
      <c r="LA161" s="292"/>
      <c r="LB161" s="292"/>
      <c r="LC161" s="292"/>
      <c r="LD161" s="292"/>
      <c r="LE161" s="292"/>
      <c r="LF161" s="292"/>
      <c r="LG161" s="292"/>
      <c r="LH161" s="292"/>
      <c r="LI161" s="292"/>
      <c r="LJ161" s="292"/>
      <c r="LK161" s="292"/>
      <c r="LL161" s="292"/>
      <c r="LM161" s="292"/>
      <c r="LN161" s="292"/>
      <c r="LO161" s="292"/>
      <c r="LP161" s="292"/>
      <c r="LQ161" s="292"/>
      <c r="LR161" s="292"/>
      <c r="LS161" s="292"/>
      <c r="LT161" s="292"/>
      <c r="LU161" s="292"/>
      <c r="LV161" s="292"/>
      <c r="LW161" s="292"/>
      <c r="LX161" s="292"/>
      <c r="LY161" s="292"/>
      <c r="LZ161" s="292"/>
      <c r="MA161" s="292"/>
      <c r="MB161" s="292"/>
      <c r="MC161" s="292"/>
      <c r="MD161" s="292"/>
      <c r="ME161" s="292"/>
      <c r="MF161" s="292"/>
      <c r="MG161" s="292"/>
      <c r="MH161" s="292"/>
      <c r="MI161" s="292"/>
      <c r="MJ161" s="292"/>
      <c r="MK161" s="292"/>
      <c r="ML161" s="292"/>
      <c r="MM161" s="292"/>
      <c r="MN161" s="292"/>
      <c r="MO161" s="292"/>
      <c r="MP161" s="292"/>
      <c r="MQ161" s="292"/>
      <c r="MR161" s="292"/>
      <c r="MS161" s="292"/>
      <c r="MT161" s="292"/>
      <c r="MU161" s="292"/>
      <c r="MV161" s="292"/>
      <c r="MW161" s="292"/>
      <c r="MX161" s="292"/>
      <c r="MY161" s="292"/>
      <c r="MZ161" s="292"/>
      <c r="NA161" s="292"/>
      <c r="NB161" s="292"/>
      <c r="NC161" s="292"/>
      <c r="ND161" s="292"/>
      <c r="NE161" s="292"/>
      <c r="NF161" s="292"/>
      <c r="NG161" s="292"/>
      <c r="NH161" s="292"/>
      <c r="NI161" s="292"/>
      <c r="NJ161" s="292"/>
      <c r="NK161" s="292"/>
      <c r="NL161" s="292"/>
      <c r="NM161" s="292"/>
      <c r="NN161" s="292"/>
      <c r="NO161" s="292"/>
      <c r="NP161" s="292"/>
      <c r="NQ161" s="292"/>
      <c r="NR161" s="292"/>
      <c r="NS161" s="292"/>
      <c r="NT161" s="292"/>
      <c r="NU161" s="292"/>
      <c r="NV161" s="292"/>
      <c r="NW161" s="292"/>
      <c r="NX161" s="292"/>
      <c r="NY161" s="568"/>
      <c r="NZ161" s="568"/>
      <c r="OA161" s="575"/>
      <c r="OB161" s="575"/>
      <c r="OC161" s="578"/>
      <c r="OD161" s="578"/>
    </row>
    <row r="162" spans="1:394" s="20" customFormat="1" ht="12.75" customHeight="1">
      <c r="A162" s="15"/>
      <c r="B162" s="15"/>
      <c r="C162" s="15"/>
      <c r="D162" s="43"/>
      <c r="E162" s="43"/>
      <c r="F162" s="43"/>
      <c r="G162" s="44"/>
      <c r="H162" s="84"/>
      <c r="I162" s="15"/>
      <c r="J162" s="15"/>
      <c r="K162" s="16"/>
      <c r="L162" s="16"/>
      <c r="M162" s="15"/>
      <c r="N162" s="15"/>
      <c r="O162" s="16"/>
      <c r="P162" s="15"/>
      <c r="Q162" s="15"/>
      <c r="R162" s="15"/>
      <c r="S162" s="15"/>
      <c r="T162" s="15"/>
      <c r="U162" s="15"/>
      <c r="V162" s="15"/>
      <c r="W162" s="15"/>
      <c r="X162" s="15"/>
      <c r="Y162" s="15"/>
      <c r="Z162" s="16"/>
      <c r="AA162" s="15"/>
      <c r="AB162" s="15"/>
      <c r="AC162" s="15"/>
      <c r="AD162" s="15"/>
      <c r="AE162" s="15"/>
      <c r="AF162" s="15"/>
      <c r="AG162" s="15"/>
      <c r="AH162" s="15"/>
      <c r="AI162" s="15"/>
      <c r="AJ162" s="15"/>
      <c r="AK162" s="15"/>
      <c r="AL162" s="16"/>
      <c r="AM162" s="15"/>
      <c r="AN162" s="16"/>
      <c r="AO162" s="16"/>
      <c r="BB162" s="15"/>
      <c r="BC162" s="15"/>
      <c r="BD162" s="15"/>
      <c r="BE162" s="15"/>
      <c r="BF162" s="15"/>
      <c r="BG162" s="15"/>
      <c r="BH162" s="15"/>
      <c r="BI162" s="15"/>
      <c r="BJ162" s="15"/>
      <c r="BK162" s="15"/>
      <c r="BL162" s="15"/>
      <c r="CB162" s="292"/>
      <c r="CE162" s="668" t="s">
        <v>206</v>
      </c>
      <c r="CF162" s="668"/>
      <c r="CG162" s="668"/>
      <c r="CH162" s="668"/>
      <c r="CI162" s="668"/>
      <c r="CJ162" s="668"/>
      <c r="CK162" s="668"/>
      <c r="CL162" s="668"/>
      <c r="CM162" s="668"/>
      <c r="CN162" s="668"/>
      <c r="CO162" s="668"/>
      <c r="CP162" s="282"/>
      <c r="CQ162" s="17"/>
      <c r="CR162" s="17"/>
      <c r="CS162" s="17"/>
      <c r="CT162" s="17"/>
      <c r="CU162" s="17"/>
      <c r="CV162" s="17"/>
      <c r="CW162" s="17"/>
      <c r="CX162" s="17"/>
      <c r="CY162" s="16"/>
      <c r="CZ162" s="202"/>
      <c r="EG162" s="292"/>
      <c r="EH162" s="292"/>
      <c r="EI162" s="292"/>
      <c r="EJ162" s="292"/>
      <c r="EK162" s="292"/>
      <c r="EL162" s="292"/>
      <c r="EM162" s="292"/>
      <c r="EN162" s="292"/>
      <c r="EO162" s="292"/>
      <c r="EP162" s="292"/>
      <c r="EQ162" s="292"/>
      <c r="ER162" s="292"/>
      <c r="ES162" s="292"/>
      <c r="ET162" s="292"/>
      <c r="EU162" s="292"/>
      <c r="EV162" s="292"/>
      <c r="EW162" s="292"/>
      <c r="EX162" s="292"/>
      <c r="FA162" s="292"/>
      <c r="FB162" s="292"/>
      <c r="FC162" s="292"/>
      <c r="FD162" s="292"/>
      <c r="FE162" s="292"/>
      <c r="FF162" s="292"/>
      <c r="FG162" s="292"/>
      <c r="FH162" s="292"/>
      <c r="FI162" s="292"/>
      <c r="FJ162" s="292"/>
      <c r="FK162" s="292"/>
      <c r="FL162" s="292"/>
      <c r="FM162" s="292"/>
      <c r="FN162" s="292"/>
      <c r="FO162" s="292"/>
      <c r="FP162" s="292"/>
      <c r="FQ162" s="292"/>
      <c r="FR162" s="292"/>
      <c r="FS162" s="292"/>
      <c r="FT162" s="292"/>
      <c r="FU162" s="292"/>
      <c r="FV162" s="292"/>
      <c r="FW162" s="292"/>
      <c r="FX162" s="292"/>
      <c r="FY162" s="292"/>
      <c r="FZ162" s="292"/>
      <c r="GA162" s="292"/>
      <c r="GB162" s="292"/>
      <c r="GC162" s="292"/>
      <c r="GD162" s="292"/>
      <c r="GE162" s="292"/>
      <c r="GF162" s="292"/>
      <c r="GG162" s="292"/>
      <c r="GH162" s="292"/>
      <c r="GI162" s="292"/>
      <c r="GJ162" s="292"/>
      <c r="GK162" s="292"/>
      <c r="GL162" s="292"/>
      <c r="GM162" s="292"/>
      <c r="GN162" s="292"/>
      <c r="GO162" s="292"/>
      <c r="GP162" s="292"/>
      <c r="GQ162" s="292"/>
      <c r="GR162" s="292"/>
      <c r="GS162" s="292"/>
      <c r="GT162" s="292"/>
      <c r="GU162" s="292"/>
      <c r="GV162" s="292"/>
      <c r="GW162" s="292"/>
      <c r="GX162" s="292"/>
      <c r="GY162" s="292"/>
      <c r="GZ162" s="292"/>
      <c r="HA162" s="292"/>
      <c r="HB162" s="292"/>
      <c r="HC162" s="292"/>
      <c r="HD162" s="292"/>
      <c r="HE162" s="292"/>
      <c r="HF162" s="292"/>
      <c r="HG162" s="292"/>
      <c r="HH162" s="292"/>
      <c r="HI162" s="292"/>
      <c r="HJ162" s="292"/>
      <c r="HK162" s="292"/>
      <c r="HL162" s="292"/>
      <c r="HM162" s="292"/>
      <c r="HN162" s="292"/>
      <c r="HO162" s="292"/>
      <c r="HP162" s="292"/>
      <c r="HQ162" s="292"/>
      <c r="HR162" s="292"/>
      <c r="HS162" s="292"/>
      <c r="HT162" s="292"/>
      <c r="HU162" s="292"/>
      <c r="HV162" s="292"/>
      <c r="HW162" s="292"/>
      <c r="HX162" s="292"/>
      <c r="HY162" s="292"/>
      <c r="HZ162" s="292"/>
      <c r="IA162" s="292"/>
      <c r="IB162" s="292"/>
      <c r="IC162" s="292"/>
      <c r="ID162" s="292"/>
      <c r="IE162" s="292"/>
      <c r="IF162" s="292"/>
      <c r="IG162" s="292"/>
      <c r="IH162" s="292"/>
      <c r="II162" s="292"/>
      <c r="IJ162" s="292"/>
      <c r="IK162" s="292"/>
      <c r="IL162" s="292"/>
      <c r="IM162" s="292"/>
      <c r="IN162" s="292"/>
      <c r="IO162" s="292"/>
      <c r="IP162" s="292"/>
      <c r="IQ162" s="292"/>
      <c r="IR162" s="292"/>
      <c r="IS162" s="292"/>
      <c r="IT162" s="292"/>
      <c r="IU162" s="292"/>
      <c r="IV162" s="292"/>
      <c r="IW162" s="292"/>
      <c r="IX162" s="292"/>
      <c r="IY162" s="292"/>
      <c r="IZ162" s="292"/>
      <c r="JA162" s="292"/>
      <c r="JB162" s="292"/>
      <c r="JC162" s="292"/>
      <c r="JD162" s="292"/>
      <c r="JE162" s="292"/>
      <c r="JF162" s="292"/>
      <c r="JG162" s="292"/>
      <c r="JH162" s="292"/>
      <c r="JI162" s="292"/>
      <c r="JJ162" s="292"/>
      <c r="JK162" s="292"/>
      <c r="JL162" s="292"/>
      <c r="JM162" s="292"/>
      <c r="JN162" s="292"/>
      <c r="JO162" s="292"/>
      <c r="JP162" s="292"/>
      <c r="JQ162" s="292"/>
      <c r="JR162" s="292"/>
      <c r="JS162" s="292"/>
      <c r="JT162" s="292"/>
      <c r="JU162" s="292"/>
      <c r="JV162" s="292"/>
      <c r="JW162" s="292"/>
      <c r="JX162" s="292"/>
      <c r="JY162" s="292"/>
      <c r="JZ162" s="292"/>
      <c r="KA162" s="292"/>
      <c r="KB162" s="292"/>
      <c r="KC162" s="292"/>
      <c r="KD162" s="292"/>
      <c r="KE162" s="292"/>
      <c r="KF162" s="292"/>
      <c r="KG162" s="292"/>
      <c r="KH162" s="292"/>
      <c r="KI162" s="292"/>
      <c r="KJ162" s="292"/>
      <c r="KK162" s="292"/>
      <c r="KL162" s="292"/>
      <c r="KM162" s="292"/>
      <c r="KN162" s="292"/>
      <c r="KO162" s="292"/>
      <c r="KP162" s="292"/>
      <c r="KQ162" s="292"/>
      <c r="KR162" s="292"/>
      <c r="KS162" s="292"/>
      <c r="KT162" s="292"/>
      <c r="KU162" s="292"/>
      <c r="KV162" s="292"/>
      <c r="KW162" s="292"/>
      <c r="KX162" s="292"/>
      <c r="KY162" s="292"/>
      <c r="KZ162" s="292"/>
      <c r="LA162" s="292"/>
      <c r="LB162" s="292"/>
      <c r="LC162" s="292"/>
      <c r="LD162" s="292"/>
      <c r="LE162" s="292"/>
      <c r="LF162" s="292"/>
      <c r="LG162" s="292"/>
      <c r="LH162" s="292"/>
      <c r="LI162" s="292"/>
      <c r="LJ162" s="292"/>
      <c r="LK162" s="292"/>
      <c r="LL162" s="292"/>
      <c r="LM162" s="292"/>
      <c r="LN162" s="292"/>
      <c r="LO162" s="292"/>
      <c r="LP162" s="292"/>
      <c r="LQ162" s="292"/>
      <c r="LR162" s="292"/>
      <c r="LS162" s="292"/>
      <c r="LT162" s="292"/>
      <c r="LU162" s="292"/>
      <c r="LV162" s="292"/>
      <c r="LW162" s="292"/>
      <c r="LX162" s="292"/>
      <c r="LY162" s="292"/>
      <c r="LZ162" s="292"/>
      <c r="MA162" s="292"/>
      <c r="MB162" s="292"/>
      <c r="MC162" s="292"/>
      <c r="MD162" s="292"/>
      <c r="ME162" s="292"/>
      <c r="MF162" s="292"/>
      <c r="MG162" s="292"/>
      <c r="MH162" s="292"/>
      <c r="MI162" s="292"/>
      <c r="MJ162" s="292"/>
      <c r="MK162" s="292"/>
      <c r="ML162" s="292"/>
      <c r="MM162" s="292"/>
      <c r="MN162" s="292"/>
      <c r="MO162" s="292"/>
      <c r="MP162" s="292"/>
      <c r="MQ162" s="292"/>
      <c r="MR162" s="292"/>
      <c r="MS162" s="292"/>
      <c r="MT162" s="292"/>
      <c r="MU162" s="292"/>
      <c r="MV162" s="292"/>
      <c r="MW162" s="292"/>
      <c r="MX162" s="292"/>
      <c r="MY162" s="292"/>
      <c r="MZ162" s="292"/>
      <c r="NA162" s="292"/>
      <c r="NB162" s="292"/>
      <c r="NC162" s="292"/>
      <c r="ND162" s="292"/>
      <c r="NE162" s="292"/>
      <c r="NF162" s="292"/>
      <c r="NG162" s="292"/>
      <c r="NH162" s="292"/>
      <c r="NI162" s="292"/>
      <c r="NJ162" s="292"/>
      <c r="NK162" s="292"/>
      <c r="NL162" s="292"/>
      <c r="NM162" s="292"/>
      <c r="NN162" s="292"/>
      <c r="NO162" s="292"/>
      <c r="NP162" s="292"/>
      <c r="NQ162" s="292"/>
      <c r="NR162" s="292"/>
      <c r="NS162" s="292"/>
      <c r="NT162" s="292"/>
      <c r="NU162" s="292"/>
      <c r="NV162" s="292"/>
      <c r="NW162" s="292"/>
      <c r="NX162" s="292"/>
      <c r="NY162" s="568"/>
      <c r="NZ162" s="568"/>
      <c r="OA162" s="575"/>
      <c r="OB162" s="575"/>
      <c r="OC162" s="578"/>
      <c r="OD162" s="578"/>
    </row>
    <row r="163" spans="1:394" s="20" customFormat="1" ht="12.75" customHeight="1">
      <c r="A163" s="15"/>
      <c r="B163" s="15"/>
      <c r="C163" s="15"/>
      <c r="D163" s="43"/>
      <c r="E163" s="43"/>
      <c r="F163" s="43"/>
      <c r="G163" s="44"/>
      <c r="H163" s="84"/>
      <c r="I163" s="15"/>
      <c r="J163" s="15"/>
      <c r="K163" s="16"/>
      <c r="L163" s="16"/>
      <c r="M163" s="15"/>
      <c r="N163" s="15"/>
      <c r="O163" s="16"/>
      <c r="P163" s="15"/>
      <c r="Q163" s="15"/>
      <c r="R163" s="15"/>
      <c r="S163" s="15"/>
      <c r="T163" s="15"/>
      <c r="U163" s="15"/>
      <c r="V163" s="15"/>
      <c r="W163" s="15"/>
      <c r="X163" s="15"/>
      <c r="Y163" s="15"/>
      <c r="Z163" s="16"/>
      <c r="AA163" s="15"/>
      <c r="AB163" s="15"/>
      <c r="AC163" s="15"/>
      <c r="AD163" s="15"/>
      <c r="AE163" s="15"/>
      <c r="AF163" s="15"/>
      <c r="AG163" s="15"/>
      <c r="AH163" s="15"/>
      <c r="AI163" s="15"/>
      <c r="AJ163" s="15"/>
      <c r="AK163" s="15"/>
      <c r="AL163" s="16"/>
      <c r="AM163" s="15"/>
      <c r="AN163" s="16"/>
      <c r="AO163" s="16"/>
      <c r="BB163" s="15"/>
      <c r="BC163" s="15"/>
      <c r="BD163" s="15"/>
      <c r="BE163" s="15"/>
      <c r="BF163" s="15"/>
      <c r="BG163" s="15"/>
      <c r="BH163" s="15"/>
      <c r="BI163" s="15"/>
      <c r="BJ163" s="15"/>
      <c r="BK163" s="15"/>
      <c r="BL163" s="15"/>
      <c r="CB163" s="292"/>
      <c r="CE163" s="668"/>
      <c r="CF163" s="668"/>
      <c r="CG163" s="668"/>
      <c r="CH163" s="668"/>
      <c r="CI163" s="668"/>
      <c r="CJ163" s="668"/>
      <c r="CK163" s="668"/>
      <c r="CL163" s="668"/>
      <c r="CM163" s="668"/>
      <c r="CN163" s="668"/>
      <c r="CO163" s="668"/>
      <c r="CP163" s="282"/>
      <c r="CQ163" s="17"/>
      <c r="CR163" s="17"/>
      <c r="CS163" s="17"/>
      <c r="CT163" s="17"/>
      <c r="CU163" s="17"/>
      <c r="CV163" s="17"/>
      <c r="CW163" s="17"/>
      <c r="CX163" s="17"/>
      <c r="CY163" s="16"/>
      <c r="CZ163" s="15"/>
      <c r="EG163" s="292"/>
      <c r="EH163" s="292"/>
      <c r="EI163" s="292"/>
      <c r="EJ163" s="292"/>
      <c r="EK163" s="292"/>
      <c r="EL163" s="292"/>
      <c r="EM163" s="292"/>
      <c r="EN163" s="292"/>
      <c r="EO163" s="292"/>
      <c r="EP163" s="292"/>
      <c r="EQ163" s="292"/>
      <c r="ER163" s="292"/>
      <c r="ES163" s="292"/>
      <c r="ET163" s="292"/>
      <c r="EU163" s="292"/>
      <c r="EV163" s="292"/>
      <c r="EW163" s="292"/>
      <c r="EX163" s="292"/>
      <c r="FA163" s="292"/>
      <c r="FB163" s="292"/>
      <c r="FC163" s="292"/>
      <c r="FD163" s="292"/>
      <c r="FE163" s="292"/>
      <c r="FF163" s="292"/>
      <c r="FG163" s="292"/>
      <c r="FH163" s="292"/>
      <c r="FI163" s="292"/>
      <c r="FJ163" s="292"/>
      <c r="FK163" s="292"/>
      <c r="FL163" s="292"/>
      <c r="FM163" s="292"/>
      <c r="FN163" s="292"/>
      <c r="FO163" s="292"/>
      <c r="FP163" s="292"/>
      <c r="FQ163" s="292"/>
      <c r="FR163" s="292"/>
      <c r="FS163" s="292"/>
      <c r="FT163" s="292"/>
      <c r="FU163" s="292"/>
      <c r="FV163" s="292"/>
      <c r="FW163" s="292"/>
      <c r="FX163" s="292"/>
      <c r="FY163" s="292"/>
      <c r="FZ163" s="292"/>
      <c r="GA163" s="292"/>
      <c r="GB163" s="292"/>
      <c r="GC163" s="292"/>
      <c r="GD163" s="292"/>
      <c r="GE163" s="292"/>
      <c r="GF163" s="292"/>
      <c r="GG163" s="292"/>
      <c r="GH163" s="292"/>
      <c r="GI163" s="292"/>
      <c r="GJ163" s="292"/>
      <c r="GK163" s="292"/>
      <c r="GL163" s="292"/>
      <c r="GM163" s="292"/>
      <c r="GN163" s="292"/>
      <c r="GO163" s="292"/>
      <c r="GP163" s="292"/>
      <c r="GQ163" s="292"/>
      <c r="GR163" s="292"/>
      <c r="GS163" s="292"/>
      <c r="GT163" s="292"/>
      <c r="GU163" s="292"/>
      <c r="GV163" s="292"/>
      <c r="GW163" s="292"/>
      <c r="GX163" s="292"/>
      <c r="GY163" s="292"/>
      <c r="GZ163" s="292"/>
      <c r="HA163" s="292"/>
      <c r="HB163" s="292"/>
      <c r="HC163" s="292"/>
      <c r="HD163" s="292"/>
      <c r="HE163" s="292"/>
      <c r="HF163" s="292"/>
      <c r="HG163" s="292"/>
      <c r="HH163" s="292"/>
      <c r="HI163" s="292"/>
      <c r="HJ163" s="292"/>
      <c r="HK163" s="292"/>
      <c r="HL163" s="292"/>
      <c r="HM163" s="292"/>
      <c r="HN163" s="292"/>
      <c r="HO163" s="292"/>
      <c r="HP163" s="292"/>
      <c r="HQ163" s="292"/>
      <c r="HR163" s="292"/>
      <c r="HS163" s="292"/>
      <c r="HT163" s="292"/>
      <c r="HU163" s="292"/>
      <c r="HV163" s="292"/>
      <c r="HW163" s="292"/>
      <c r="HX163" s="292"/>
      <c r="HY163" s="292"/>
      <c r="HZ163" s="292"/>
      <c r="IA163" s="292"/>
      <c r="IB163" s="292"/>
      <c r="IC163" s="292"/>
      <c r="ID163" s="292"/>
      <c r="IE163" s="292"/>
      <c r="IF163" s="292"/>
      <c r="IG163" s="292"/>
      <c r="IH163" s="292"/>
      <c r="II163" s="292"/>
      <c r="IJ163" s="292"/>
      <c r="IK163" s="292"/>
      <c r="IL163" s="292"/>
      <c r="IM163" s="292"/>
      <c r="IN163" s="292"/>
      <c r="IO163" s="292"/>
      <c r="IP163" s="292"/>
      <c r="IQ163" s="292"/>
      <c r="IR163" s="292"/>
      <c r="IS163" s="292"/>
      <c r="IT163" s="292"/>
      <c r="IU163" s="292"/>
      <c r="IV163" s="292"/>
      <c r="IW163" s="292"/>
      <c r="IX163" s="292"/>
      <c r="IY163" s="292"/>
      <c r="IZ163" s="292"/>
      <c r="JA163" s="292"/>
      <c r="JB163" s="292"/>
      <c r="JC163" s="292"/>
      <c r="JD163" s="292"/>
      <c r="JE163" s="292"/>
      <c r="JF163" s="292"/>
      <c r="JG163" s="292"/>
      <c r="JH163" s="292"/>
      <c r="JI163" s="292"/>
      <c r="JJ163" s="292"/>
      <c r="JK163" s="292"/>
      <c r="JL163" s="292"/>
      <c r="JM163" s="292"/>
      <c r="JN163" s="292"/>
      <c r="JO163" s="292"/>
      <c r="JP163" s="292"/>
      <c r="JQ163" s="292"/>
      <c r="JR163" s="292"/>
      <c r="JS163" s="292"/>
      <c r="JT163" s="292"/>
      <c r="JU163" s="292"/>
      <c r="JV163" s="292"/>
      <c r="JW163" s="292"/>
      <c r="JX163" s="292"/>
      <c r="JY163" s="292"/>
      <c r="JZ163" s="292"/>
      <c r="KA163" s="292"/>
      <c r="KB163" s="292"/>
      <c r="KC163" s="292"/>
      <c r="KD163" s="292"/>
      <c r="KE163" s="292"/>
      <c r="KF163" s="292"/>
      <c r="KG163" s="292"/>
      <c r="KH163" s="292"/>
      <c r="KI163" s="292"/>
      <c r="KJ163" s="292"/>
      <c r="KK163" s="292"/>
      <c r="KL163" s="292"/>
      <c r="KM163" s="292"/>
      <c r="KN163" s="292"/>
      <c r="KO163" s="292"/>
      <c r="KP163" s="292"/>
      <c r="KQ163" s="292"/>
      <c r="KR163" s="292"/>
      <c r="KS163" s="292"/>
      <c r="KT163" s="292"/>
      <c r="KU163" s="292"/>
      <c r="KV163" s="292"/>
      <c r="KW163" s="292"/>
      <c r="KX163" s="292"/>
      <c r="KY163" s="292"/>
      <c r="KZ163" s="292"/>
      <c r="LA163" s="292"/>
      <c r="LB163" s="292"/>
      <c r="LC163" s="292"/>
      <c r="LD163" s="292"/>
      <c r="LE163" s="292"/>
      <c r="LF163" s="292"/>
      <c r="LG163" s="292"/>
      <c r="LH163" s="292"/>
      <c r="LI163" s="292"/>
      <c r="LJ163" s="292"/>
      <c r="LK163" s="292"/>
      <c r="LL163" s="292"/>
      <c r="LM163" s="292"/>
      <c r="LN163" s="292"/>
      <c r="LO163" s="292"/>
      <c r="LP163" s="292"/>
      <c r="LQ163" s="292"/>
      <c r="LR163" s="292"/>
      <c r="LS163" s="292"/>
      <c r="LT163" s="292"/>
      <c r="LU163" s="292"/>
      <c r="LV163" s="292"/>
      <c r="LW163" s="292"/>
      <c r="LX163" s="292"/>
      <c r="LY163" s="292"/>
      <c r="LZ163" s="292"/>
      <c r="MA163" s="292"/>
      <c r="MB163" s="292"/>
      <c r="MC163" s="292"/>
      <c r="MD163" s="292"/>
      <c r="ME163" s="292"/>
      <c r="MF163" s="292"/>
      <c r="MG163" s="292"/>
      <c r="MH163" s="292"/>
      <c r="MI163" s="292"/>
      <c r="MJ163" s="292"/>
      <c r="MK163" s="292"/>
      <c r="ML163" s="292"/>
      <c r="MM163" s="292"/>
      <c r="MN163" s="292"/>
      <c r="MO163" s="292"/>
      <c r="MP163" s="292"/>
      <c r="MQ163" s="292"/>
      <c r="MR163" s="292"/>
      <c r="MS163" s="292"/>
      <c r="MT163" s="292"/>
      <c r="MU163" s="292"/>
      <c r="MV163" s="292"/>
      <c r="MW163" s="292"/>
      <c r="MX163" s="292"/>
      <c r="MY163" s="292"/>
      <c r="MZ163" s="292"/>
      <c r="NA163" s="292"/>
      <c r="NB163" s="292"/>
      <c r="NC163" s="292"/>
      <c r="ND163" s="292"/>
      <c r="NE163" s="292"/>
      <c r="NF163" s="292"/>
      <c r="NG163" s="292"/>
      <c r="NH163" s="292"/>
      <c r="NI163" s="292"/>
      <c r="NJ163" s="292"/>
      <c r="NK163" s="292"/>
      <c r="NL163" s="292"/>
      <c r="NM163" s="292"/>
      <c r="NN163" s="292"/>
      <c r="NO163" s="292"/>
      <c r="NP163" s="292"/>
      <c r="NQ163" s="292"/>
      <c r="NR163" s="292"/>
      <c r="NS163" s="292"/>
      <c r="NT163" s="292"/>
      <c r="NU163" s="292"/>
      <c r="NV163" s="292"/>
      <c r="NW163" s="292"/>
      <c r="NX163" s="292"/>
      <c r="NY163" s="568"/>
      <c r="NZ163" s="568"/>
      <c r="OA163" s="575"/>
      <c r="OB163" s="575"/>
      <c r="OC163" s="578"/>
      <c r="OD163" s="578"/>
    </row>
    <row r="164" spans="1:394" ht="12.75" customHeight="1">
      <c r="G164" s="44"/>
      <c r="CE164" s="668"/>
      <c r="CF164" s="668"/>
      <c r="CG164" s="668"/>
      <c r="CH164" s="668"/>
      <c r="CI164" s="668"/>
      <c r="CJ164" s="668"/>
      <c r="CK164" s="668"/>
      <c r="CL164" s="668"/>
      <c r="CM164" s="668"/>
      <c r="CN164" s="668"/>
      <c r="CO164" s="668"/>
      <c r="CP164" s="282"/>
      <c r="CQ164" s="16"/>
      <c r="CR164" s="16"/>
      <c r="CS164" s="16"/>
      <c r="CT164" s="16"/>
      <c r="CU164" s="16"/>
      <c r="CV164" s="16"/>
      <c r="CW164" s="16"/>
      <c r="CX164" s="16"/>
      <c r="CY164" s="16"/>
    </row>
    <row r="165" spans="1:394" ht="12.75" customHeight="1" thickBot="1">
      <c r="G165" s="44"/>
      <c r="CE165" s="668"/>
      <c r="CF165" s="668"/>
      <c r="CG165" s="668"/>
      <c r="CH165" s="668"/>
      <c r="CI165" s="668"/>
      <c r="CJ165" s="668"/>
      <c r="CK165" s="668"/>
      <c r="CL165" s="668"/>
      <c r="CM165" s="668"/>
      <c r="CN165" s="668"/>
      <c r="CO165" s="668"/>
      <c r="CP165" s="282"/>
      <c r="CQ165" s="52"/>
      <c r="CR165" s="52"/>
      <c r="CS165" s="52"/>
      <c r="CT165" s="52"/>
      <c r="CU165" s="52"/>
      <c r="CV165" s="52"/>
      <c r="CW165" s="52"/>
      <c r="CX165" s="16"/>
      <c r="CY165" s="16"/>
    </row>
    <row r="166" spans="1:394" ht="23" thickBot="1">
      <c r="G166" s="44"/>
      <c r="CE166" s="434" t="s">
        <v>174</v>
      </c>
      <c r="CF166" s="435" t="s">
        <v>175</v>
      </c>
      <c r="CG166" s="436" t="s">
        <v>176</v>
      </c>
      <c r="CH166" s="533" t="s">
        <v>2</v>
      </c>
      <c r="CI166" s="534" t="s">
        <v>184</v>
      </c>
      <c r="CJ166" s="437" t="s">
        <v>181</v>
      </c>
      <c r="CK166" s="665" t="s">
        <v>177</v>
      </c>
      <c r="CL166" s="666"/>
      <c r="CM166" s="667"/>
      <c r="CN166" s="433"/>
      <c r="CO166" s="433"/>
      <c r="CP166" s="282"/>
      <c r="CQ166" s="16"/>
      <c r="CR166" s="16"/>
      <c r="CS166" s="16"/>
      <c r="CT166" s="16"/>
      <c r="CU166" s="16"/>
      <c r="CV166" s="16"/>
      <c r="CW166" s="16"/>
      <c r="CX166" s="16"/>
      <c r="CY166" s="16"/>
    </row>
    <row r="167" spans="1:394" s="290" customFormat="1" ht="13.5" thickBot="1">
      <c r="D167" s="43"/>
      <c r="E167" s="43"/>
      <c r="F167" s="43"/>
      <c r="G167" s="44"/>
      <c r="H167" s="84"/>
      <c r="K167" s="16"/>
      <c r="L167" s="16"/>
      <c r="O167" s="16"/>
      <c r="Z167" s="16"/>
      <c r="AL167" s="16"/>
      <c r="AN167" s="16"/>
      <c r="AO167" s="16"/>
      <c r="CE167" s="653" t="s">
        <v>266</v>
      </c>
      <c r="CF167" s="420" t="s">
        <v>78</v>
      </c>
      <c r="CG167" s="429" t="s">
        <v>79</v>
      </c>
      <c r="CH167" s="600">
        <v>35</v>
      </c>
      <c r="CI167" s="601">
        <v>2</v>
      </c>
      <c r="CJ167" s="477">
        <f t="shared" ref="CJ167:CJ177" si="104">ROUNDDOWN(CH167*CI167,0)</f>
        <v>70</v>
      </c>
      <c r="CK167" s="421"/>
      <c r="CL167" s="421"/>
      <c r="CM167" s="422"/>
      <c r="CN167" s="410"/>
      <c r="CO167" s="410"/>
      <c r="CP167" s="282"/>
      <c r="CQ167" s="16"/>
      <c r="CR167" s="16"/>
      <c r="CS167" s="16"/>
      <c r="CT167" s="16"/>
      <c r="CU167" s="16"/>
      <c r="CV167" s="16"/>
      <c r="CW167" s="16"/>
      <c r="CX167" s="16"/>
      <c r="CY167" s="16"/>
    </row>
    <row r="168" spans="1:394" s="290" customFormat="1">
      <c r="D168" s="43"/>
      <c r="E168" s="43"/>
      <c r="F168" s="43"/>
      <c r="G168" s="44"/>
      <c r="H168" s="84"/>
      <c r="K168" s="16"/>
      <c r="L168" s="16"/>
      <c r="O168" s="16"/>
      <c r="Z168" s="16"/>
      <c r="AL168" s="16"/>
      <c r="AN168" s="16"/>
      <c r="AO168" s="16"/>
      <c r="CE168" s="654"/>
      <c r="CF168" s="651" t="s">
        <v>24</v>
      </c>
      <c r="CG168" s="426" t="s">
        <v>53</v>
      </c>
      <c r="CH168" s="595">
        <v>51</v>
      </c>
      <c r="CI168" s="596">
        <v>22.5</v>
      </c>
      <c r="CJ168" s="579">
        <f>ROUNDDOWN(CH168*CI168,0)</f>
        <v>1147</v>
      </c>
      <c r="CK168" s="412" t="s">
        <v>275</v>
      </c>
      <c r="CL168" s="412"/>
      <c r="CM168" s="413"/>
      <c r="CN168" s="410"/>
      <c r="CO168" s="410"/>
      <c r="CP168" s="282"/>
      <c r="CQ168" s="16"/>
      <c r="CR168" s="16"/>
      <c r="CS168" s="16"/>
      <c r="CT168" s="16"/>
      <c r="CU168" s="16"/>
      <c r="CV168" s="16"/>
      <c r="CW168" s="16"/>
      <c r="CX168" s="16"/>
      <c r="CY168" s="16"/>
    </row>
    <row r="169" spans="1:394" s="290" customFormat="1" ht="13.5" thickBot="1">
      <c r="D169" s="43"/>
      <c r="E169" s="43"/>
      <c r="F169" s="43"/>
      <c r="G169" s="44"/>
      <c r="H169" s="84"/>
      <c r="K169" s="16"/>
      <c r="L169" s="16"/>
      <c r="O169" s="16"/>
      <c r="Z169" s="16"/>
      <c r="AL169" s="16"/>
      <c r="AN169" s="16"/>
      <c r="AO169" s="16"/>
      <c r="CE169" s="655"/>
      <c r="CF169" s="659"/>
      <c r="CG169" s="428" t="s">
        <v>60</v>
      </c>
      <c r="CH169" s="592">
        <v>12</v>
      </c>
      <c r="CI169" s="593">
        <v>22.5</v>
      </c>
      <c r="CJ169" s="580">
        <f t="shared" si="104"/>
        <v>270</v>
      </c>
      <c r="CK169" s="416" t="s">
        <v>275</v>
      </c>
      <c r="CL169" s="416"/>
      <c r="CM169" s="417"/>
      <c r="CN169" s="410"/>
      <c r="CO169" s="410"/>
      <c r="CP169" s="282"/>
      <c r="CQ169" s="16"/>
      <c r="CR169" s="16"/>
      <c r="CS169" s="16"/>
      <c r="CT169" s="16"/>
      <c r="CU169" s="16"/>
      <c r="CV169" s="16"/>
      <c r="CW169" s="16"/>
      <c r="CX169" s="16"/>
      <c r="CY169" s="16"/>
    </row>
    <row r="170" spans="1:394" s="290" customFormat="1">
      <c r="D170" s="43"/>
      <c r="E170" s="43"/>
      <c r="F170" s="43"/>
      <c r="G170" s="44"/>
      <c r="H170" s="84"/>
      <c r="K170" s="16"/>
      <c r="L170" s="16"/>
      <c r="O170" s="16"/>
      <c r="Z170" s="16"/>
      <c r="AL170" s="16"/>
      <c r="AN170" s="16"/>
      <c r="AO170" s="16"/>
      <c r="CE170" s="653" t="s">
        <v>247</v>
      </c>
      <c r="CF170" s="651" t="s">
        <v>183</v>
      </c>
      <c r="CG170" s="426" t="s">
        <v>180</v>
      </c>
      <c r="CH170" s="614">
        <v>65.5</v>
      </c>
      <c r="CI170" s="596">
        <v>20</v>
      </c>
      <c r="CJ170" s="579">
        <f t="shared" si="104"/>
        <v>1310</v>
      </c>
      <c r="CK170" s="411" t="s">
        <v>275</v>
      </c>
      <c r="CL170" s="412"/>
      <c r="CM170" s="413"/>
      <c r="CN170" s="410"/>
      <c r="CO170" s="410"/>
      <c r="CP170" s="282"/>
      <c r="CQ170" s="16"/>
      <c r="CR170" s="16"/>
      <c r="CS170" s="16"/>
      <c r="CT170" s="16"/>
      <c r="CU170" s="16"/>
      <c r="CV170" s="16"/>
      <c r="CW170" s="16"/>
      <c r="CX170" s="16"/>
      <c r="CY170" s="16"/>
    </row>
    <row r="171" spans="1:394" s="290" customFormat="1">
      <c r="D171" s="43"/>
      <c r="E171" s="43"/>
      <c r="F171" s="43"/>
      <c r="G171" s="44"/>
      <c r="H171" s="84"/>
      <c r="K171" s="16"/>
      <c r="L171" s="16"/>
      <c r="O171" s="16"/>
      <c r="Z171" s="16"/>
      <c r="AL171" s="16"/>
      <c r="AN171" s="16"/>
      <c r="AO171" s="16"/>
      <c r="CE171" s="654"/>
      <c r="CF171" s="662"/>
      <c r="CG171" s="427" t="s">
        <v>9</v>
      </c>
      <c r="CH171" s="597">
        <v>0</v>
      </c>
      <c r="CI171" s="598">
        <v>20</v>
      </c>
      <c r="CJ171" s="581">
        <f t="shared" si="104"/>
        <v>0</v>
      </c>
      <c r="CK171" s="414"/>
      <c r="CL171" s="414"/>
      <c r="CM171" s="415"/>
      <c r="CN171" s="410"/>
      <c r="CO171" s="410"/>
      <c r="CP171" s="282"/>
      <c r="CQ171" s="16"/>
      <c r="CR171" s="16"/>
      <c r="CS171" s="16"/>
      <c r="CT171" s="16"/>
      <c r="CU171" s="16"/>
      <c r="CV171" s="16"/>
      <c r="CW171" s="16"/>
      <c r="CX171" s="16"/>
      <c r="CY171" s="16"/>
    </row>
    <row r="172" spans="1:394" s="290" customFormat="1" ht="13.5" thickBot="1">
      <c r="D172" s="43"/>
      <c r="E172" s="43"/>
      <c r="F172" s="43"/>
      <c r="G172" s="44"/>
      <c r="H172" s="84"/>
      <c r="K172" s="16"/>
      <c r="L172" s="16"/>
      <c r="O172" s="16"/>
      <c r="Z172" s="16"/>
      <c r="AL172" s="16"/>
      <c r="AN172" s="16"/>
      <c r="AO172" s="16"/>
      <c r="CE172" s="654"/>
      <c r="CF172" s="659"/>
      <c r="CG172" s="428" t="s">
        <v>10</v>
      </c>
      <c r="CH172" s="592">
        <v>0</v>
      </c>
      <c r="CI172" s="593">
        <v>20</v>
      </c>
      <c r="CJ172" s="580">
        <f t="shared" si="104"/>
        <v>0</v>
      </c>
      <c r="CK172" s="416"/>
      <c r="CL172" s="416"/>
      <c r="CM172" s="417"/>
      <c r="CN172" s="410"/>
      <c r="CO172" s="410"/>
      <c r="CP172" s="282"/>
      <c r="CQ172" s="16"/>
      <c r="CR172" s="16"/>
      <c r="CS172" s="16"/>
      <c r="CT172" s="16"/>
      <c r="CU172" s="16"/>
      <c r="CV172" s="16"/>
      <c r="CW172" s="16"/>
      <c r="CX172" s="16"/>
      <c r="CY172" s="16"/>
    </row>
    <row r="173" spans="1:394" s="290" customFormat="1">
      <c r="D173" s="43"/>
      <c r="E173" s="43"/>
      <c r="F173" s="43"/>
      <c r="G173" s="44"/>
      <c r="H173" s="84"/>
      <c r="K173" s="16"/>
      <c r="L173" s="16"/>
      <c r="O173" s="16"/>
      <c r="Z173" s="16"/>
      <c r="AL173" s="16"/>
      <c r="AN173" s="16"/>
      <c r="AO173" s="16"/>
      <c r="CE173" s="654"/>
      <c r="CF173" s="648" t="s">
        <v>118</v>
      </c>
      <c r="CG173" s="426" t="s">
        <v>117</v>
      </c>
      <c r="CH173" s="595">
        <v>61</v>
      </c>
      <c r="CI173" s="596">
        <v>20</v>
      </c>
      <c r="CJ173" s="579">
        <f t="shared" si="104"/>
        <v>1220</v>
      </c>
      <c r="CK173" s="411" t="s">
        <v>275</v>
      </c>
      <c r="CL173" s="412"/>
      <c r="CM173" s="413"/>
      <c r="CN173" s="410"/>
      <c r="CO173" s="410"/>
      <c r="CP173" s="282"/>
      <c r="CQ173" s="16"/>
      <c r="CR173" s="16"/>
      <c r="CS173" s="16"/>
      <c r="CT173" s="16"/>
      <c r="CU173" s="16"/>
      <c r="CV173" s="16"/>
      <c r="CW173" s="16"/>
      <c r="CX173" s="16"/>
      <c r="CY173" s="16"/>
    </row>
    <row r="174" spans="1:394" s="290" customFormat="1" ht="13.5" thickBot="1">
      <c r="D174" s="43"/>
      <c r="E174" s="43"/>
      <c r="F174" s="43"/>
      <c r="G174" s="44"/>
      <c r="H174" s="84"/>
      <c r="K174" s="16"/>
      <c r="L174" s="16"/>
      <c r="O174" s="16"/>
      <c r="Z174" s="16"/>
      <c r="AL174" s="16"/>
      <c r="AN174" s="16"/>
      <c r="AO174" s="16"/>
      <c r="CE174" s="654"/>
      <c r="CF174" s="652"/>
      <c r="CG174" s="428" t="s">
        <v>159</v>
      </c>
      <c r="CH174" s="592">
        <v>10.8</v>
      </c>
      <c r="CI174" s="593">
        <v>20</v>
      </c>
      <c r="CJ174" s="580">
        <f t="shared" si="104"/>
        <v>216</v>
      </c>
      <c r="CK174" s="416" t="s">
        <v>275</v>
      </c>
      <c r="CL174" s="416"/>
      <c r="CM174" s="417"/>
      <c r="CN174" s="410"/>
      <c r="CO174" s="410"/>
      <c r="CP174" s="282"/>
      <c r="CQ174" s="16"/>
      <c r="CR174" s="16"/>
      <c r="CS174" s="16"/>
      <c r="CT174" s="16"/>
      <c r="CU174" s="16"/>
      <c r="CV174" s="16"/>
      <c r="CW174" s="16"/>
      <c r="CX174" s="16"/>
      <c r="CY174" s="16"/>
    </row>
    <row r="175" spans="1:394" s="290" customFormat="1">
      <c r="D175" s="43"/>
      <c r="E175" s="43"/>
      <c r="F175" s="43"/>
      <c r="G175" s="44"/>
      <c r="H175" s="84"/>
      <c r="K175" s="16"/>
      <c r="L175" s="16"/>
      <c r="O175" s="16"/>
      <c r="Z175" s="16"/>
      <c r="AL175" s="16"/>
      <c r="AN175" s="16"/>
      <c r="AO175" s="16"/>
      <c r="CE175" s="654"/>
      <c r="CF175" s="648" t="s">
        <v>56</v>
      </c>
      <c r="CG175" s="426" t="s">
        <v>11</v>
      </c>
      <c r="CH175" s="595">
        <v>28</v>
      </c>
      <c r="CI175" s="596">
        <v>10</v>
      </c>
      <c r="CJ175" s="579">
        <f t="shared" si="104"/>
        <v>280</v>
      </c>
      <c r="CK175" s="418" t="s">
        <v>275</v>
      </c>
      <c r="CL175" s="412"/>
      <c r="CM175" s="413"/>
      <c r="CN175" s="410"/>
      <c r="CO175" s="410"/>
      <c r="CP175" s="282"/>
      <c r="CQ175" s="16"/>
      <c r="CR175" s="16"/>
      <c r="CS175" s="16"/>
      <c r="CT175" s="16"/>
      <c r="CU175" s="16"/>
      <c r="CV175" s="16"/>
      <c r="CW175" s="16"/>
      <c r="CX175" s="16"/>
      <c r="CY175" s="16"/>
    </row>
    <row r="176" spans="1:394" s="290" customFormat="1">
      <c r="D176" s="43"/>
      <c r="E176" s="43"/>
      <c r="F176" s="43"/>
      <c r="G176" s="44"/>
      <c r="H176" s="84"/>
      <c r="K176" s="16"/>
      <c r="L176" s="16"/>
      <c r="O176" s="16"/>
      <c r="Z176" s="16"/>
      <c r="AL176" s="16"/>
      <c r="AN176" s="16"/>
      <c r="AO176" s="16"/>
      <c r="CE176" s="654"/>
      <c r="CF176" s="649"/>
      <c r="CG176" s="427" t="s">
        <v>194</v>
      </c>
      <c r="CH176" s="597">
        <v>3.9</v>
      </c>
      <c r="CI176" s="598">
        <v>10</v>
      </c>
      <c r="CJ176" s="581">
        <f t="shared" si="104"/>
        <v>39</v>
      </c>
      <c r="CK176" s="419" t="s">
        <v>275</v>
      </c>
      <c r="CL176" s="414"/>
      <c r="CM176" s="415"/>
      <c r="CN176" s="410"/>
      <c r="CO176" s="410"/>
      <c r="CP176" s="282"/>
      <c r="CQ176" s="16"/>
      <c r="CR176" s="16"/>
      <c r="CS176" s="16"/>
      <c r="CT176" s="16"/>
      <c r="CU176" s="16"/>
      <c r="CV176" s="16"/>
      <c r="CW176" s="16"/>
      <c r="CX176" s="16"/>
      <c r="CY176" s="16"/>
    </row>
    <row r="177" spans="4:388" s="290" customFormat="1" ht="13.5" thickBot="1">
      <c r="D177" s="43"/>
      <c r="E177" s="43"/>
      <c r="F177" s="43"/>
      <c r="G177" s="44"/>
      <c r="H177" s="84"/>
      <c r="K177" s="16"/>
      <c r="L177" s="16"/>
      <c r="O177" s="16"/>
      <c r="Z177" s="16"/>
      <c r="AL177" s="16"/>
      <c r="AN177" s="16"/>
      <c r="AO177" s="16"/>
      <c r="CE177" s="655"/>
      <c r="CF177" s="650"/>
      <c r="CG177" s="428" t="s">
        <v>180</v>
      </c>
      <c r="CH177" s="592">
        <v>4.0999999999999996</v>
      </c>
      <c r="CI177" s="593">
        <v>10</v>
      </c>
      <c r="CJ177" s="580">
        <f t="shared" si="104"/>
        <v>41</v>
      </c>
      <c r="CK177" s="416" t="s">
        <v>275</v>
      </c>
      <c r="CL177" s="416"/>
      <c r="CM177" s="417"/>
      <c r="CN177" s="410"/>
      <c r="CO177" s="410"/>
      <c r="CP177" s="282"/>
      <c r="CQ177" s="16"/>
      <c r="CR177" s="16"/>
      <c r="CS177" s="16"/>
      <c r="CT177" s="16"/>
      <c r="CU177" s="16"/>
      <c r="CV177" s="16"/>
      <c r="CW177" s="16"/>
      <c r="CX177" s="16"/>
      <c r="CY177" s="16"/>
    </row>
    <row r="178" spans="4:388" s="290" customFormat="1">
      <c r="D178" s="43"/>
      <c r="E178" s="43"/>
      <c r="F178" s="43"/>
      <c r="G178" s="44"/>
      <c r="H178" s="84"/>
      <c r="K178" s="16"/>
      <c r="L178" s="16"/>
      <c r="O178" s="16"/>
      <c r="Z178" s="16"/>
      <c r="AL178" s="16"/>
      <c r="AN178" s="16"/>
      <c r="AO178" s="16"/>
      <c r="CE178" s="653" t="s">
        <v>210</v>
      </c>
      <c r="CF178" s="663" t="s">
        <v>41</v>
      </c>
      <c r="CG178" s="426" t="s">
        <v>8</v>
      </c>
      <c r="CH178" s="595">
        <v>37</v>
      </c>
      <c r="CI178" s="596">
        <v>20</v>
      </c>
      <c r="CJ178" s="579">
        <f t="shared" ref="CJ178:CJ193" si="105">ROUNDDOWN(CH178*CI178,0)</f>
        <v>740</v>
      </c>
      <c r="CK178" s="411" t="s">
        <v>275</v>
      </c>
      <c r="CL178" s="412"/>
      <c r="CM178" s="413"/>
      <c r="CN178" s="410"/>
      <c r="CO178" s="410"/>
      <c r="CP178" s="282"/>
      <c r="CQ178" s="16"/>
      <c r="CR178" s="16"/>
      <c r="CS178" s="16"/>
      <c r="CT178" s="16"/>
      <c r="CU178" s="16"/>
      <c r="CV178" s="16"/>
      <c r="CW178" s="16"/>
      <c r="CX178" s="16"/>
      <c r="CY178" s="16"/>
    </row>
    <row r="179" spans="4:388" ht="13.5" thickBot="1">
      <c r="G179" s="73"/>
      <c r="CE179" s="654"/>
      <c r="CF179" s="664"/>
      <c r="CG179" s="428" t="s">
        <v>209</v>
      </c>
      <c r="CH179" s="592">
        <v>13</v>
      </c>
      <c r="CI179" s="593">
        <v>20</v>
      </c>
      <c r="CJ179" s="580">
        <f t="shared" si="105"/>
        <v>260</v>
      </c>
      <c r="CK179" s="416" t="s">
        <v>275</v>
      </c>
      <c r="CL179" s="416"/>
      <c r="CM179" s="417"/>
      <c r="CN179" s="410"/>
      <c r="CO179" s="410"/>
      <c r="CP179" s="282"/>
      <c r="CQ179" s="16"/>
      <c r="CR179" s="16"/>
      <c r="CS179" s="16"/>
      <c r="CT179" s="16"/>
      <c r="CU179" s="16"/>
      <c r="CV179" s="16"/>
      <c r="CW179" s="16"/>
      <c r="CX179" s="52"/>
      <c r="CY179" s="16"/>
    </row>
    <row r="180" spans="4:388">
      <c r="G180" s="74"/>
      <c r="CE180" s="654"/>
      <c r="CF180" s="656" t="s">
        <v>85</v>
      </c>
      <c r="CG180" s="426" t="s">
        <v>45</v>
      </c>
      <c r="CH180" s="605">
        <v>55.2</v>
      </c>
      <c r="CI180" s="606">
        <v>0</v>
      </c>
      <c r="CJ180" s="579">
        <f t="shared" si="105"/>
        <v>0</v>
      </c>
      <c r="CK180" s="418"/>
      <c r="CL180" s="412"/>
      <c r="CM180" s="413"/>
      <c r="CN180" s="410"/>
      <c r="CO180" s="410"/>
      <c r="CP180" s="282"/>
    </row>
    <row r="181" spans="4:388" ht="13.5" thickBot="1">
      <c r="G181" s="74"/>
      <c r="CE181" s="654"/>
      <c r="CF181" s="657"/>
      <c r="CG181" s="428" t="s">
        <v>126</v>
      </c>
      <c r="CH181" s="607">
        <v>5.3</v>
      </c>
      <c r="CI181" s="608">
        <v>0</v>
      </c>
      <c r="CJ181" s="580">
        <f t="shared" si="105"/>
        <v>0</v>
      </c>
      <c r="CK181" s="416"/>
      <c r="CL181" s="416"/>
      <c r="CM181" s="417"/>
      <c r="CN181" s="410"/>
      <c r="CO181" s="410"/>
      <c r="CP181" s="282"/>
    </row>
    <row r="182" spans="4:388">
      <c r="G182" s="74"/>
      <c r="CE182" s="654"/>
      <c r="CF182" s="656" t="s">
        <v>26</v>
      </c>
      <c r="CG182" s="426" t="s">
        <v>57</v>
      </c>
      <c r="CH182" s="595">
        <v>47.9</v>
      </c>
      <c r="CI182" s="596">
        <v>20</v>
      </c>
      <c r="CJ182" s="579">
        <f t="shared" si="105"/>
        <v>958</v>
      </c>
      <c r="CK182" s="412" t="s">
        <v>275</v>
      </c>
      <c r="CL182" s="412"/>
      <c r="CM182" s="413"/>
      <c r="CN182" s="410"/>
      <c r="CO182" s="410"/>
      <c r="CP182" s="282"/>
    </row>
    <row r="183" spans="4:388">
      <c r="G183" s="74"/>
      <c r="CE183" s="654"/>
      <c r="CF183" s="658"/>
      <c r="CG183" s="427" t="s">
        <v>58</v>
      </c>
      <c r="CH183" s="597">
        <v>9.9</v>
      </c>
      <c r="CI183" s="598">
        <v>20</v>
      </c>
      <c r="CJ183" s="581">
        <f t="shared" si="105"/>
        <v>198</v>
      </c>
      <c r="CK183" s="414" t="s">
        <v>275</v>
      </c>
      <c r="CL183" s="414"/>
      <c r="CM183" s="415"/>
      <c r="CN183" s="410"/>
      <c r="CO183" s="410"/>
      <c r="CP183" s="282"/>
    </row>
    <row r="184" spans="4:388">
      <c r="G184" s="74"/>
      <c r="CE184" s="654"/>
      <c r="CF184" s="658"/>
      <c r="CG184" s="427" t="s">
        <v>62</v>
      </c>
      <c r="CH184" s="597">
        <v>7.2</v>
      </c>
      <c r="CI184" s="598">
        <v>5</v>
      </c>
      <c r="CJ184" s="581">
        <f t="shared" si="105"/>
        <v>36</v>
      </c>
      <c r="CK184" s="414"/>
      <c r="CL184" s="414"/>
      <c r="CM184" s="415"/>
      <c r="CN184" s="410"/>
      <c r="CO184" s="410"/>
      <c r="CP184" s="282"/>
    </row>
    <row r="185" spans="4:388" ht="13.5" thickBot="1">
      <c r="G185" s="74"/>
      <c r="CE185" s="655"/>
      <c r="CF185" s="657"/>
      <c r="CG185" s="428" t="s">
        <v>68</v>
      </c>
      <c r="CH185" s="592">
        <v>0.9</v>
      </c>
      <c r="CI185" s="593">
        <v>10</v>
      </c>
      <c r="CJ185" s="580">
        <f t="shared" si="105"/>
        <v>9</v>
      </c>
      <c r="CK185" s="416"/>
      <c r="CL185" s="416"/>
      <c r="CM185" s="417"/>
      <c r="CN185" s="410"/>
      <c r="CO185" s="410"/>
      <c r="CP185" s="282"/>
    </row>
    <row r="186" spans="4:388">
      <c r="G186" s="74"/>
      <c r="CE186" s="653" t="s">
        <v>233</v>
      </c>
      <c r="CF186" s="651" t="s">
        <v>23</v>
      </c>
      <c r="CG186" s="426" t="s">
        <v>61</v>
      </c>
      <c r="CH186" s="595">
        <v>7.3</v>
      </c>
      <c r="CI186" s="596">
        <v>2</v>
      </c>
      <c r="CJ186" s="579">
        <f t="shared" si="105"/>
        <v>14</v>
      </c>
      <c r="CK186" s="411"/>
      <c r="CL186" s="412"/>
      <c r="CM186" s="413"/>
      <c r="CN186" s="410"/>
      <c r="CO186" s="410"/>
      <c r="CP186" s="282"/>
    </row>
    <row r="187" spans="4:388" ht="13.5" thickBot="1">
      <c r="G187" s="74"/>
      <c r="CE187" s="654"/>
      <c r="CF187" s="659"/>
      <c r="CG187" s="428" t="s">
        <v>130</v>
      </c>
      <c r="CH187" s="592">
        <v>59</v>
      </c>
      <c r="CI187" s="593">
        <v>0.5</v>
      </c>
      <c r="CJ187" s="580">
        <f t="shared" si="105"/>
        <v>29</v>
      </c>
      <c r="CK187" s="416"/>
      <c r="CL187" s="416"/>
      <c r="CM187" s="417"/>
      <c r="CN187" s="410"/>
      <c r="CO187" s="410"/>
      <c r="CP187" s="282"/>
    </row>
    <row r="188" spans="4:388" ht="13.5" thickBot="1">
      <c r="G188" s="74"/>
      <c r="CE188" s="654"/>
      <c r="CF188" s="423" t="s">
        <v>248</v>
      </c>
      <c r="CG188" s="429" t="s">
        <v>84</v>
      </c>
      <c r="CH188" s="600">
        <v>10.199999999999999</v>
      </c>
      <c r="CI188" s="604">
        <v>0</v>
      </c>
      <c r="CJ188" s="477">
        <f t="shared" si="105"/>
        <v>0</v>
      </c>
      <c r="CK188" s="424"/>
      <c r="CL188" s="421"/>
      <c r="CM188" s="422"/>
      <c r="CN188" s="410"/>
      <c r="CO188" s="410"/>
      <c r="CP188" s="282"/>
    </row>
    <row r="189" spans="4:388">
      <c r="G189" s="74"/>
      <c r="CE189" s="654"/>
      <c r="CF189" s="651" t="s">
        <v>182</v>
      </c>
      <c r="CG189" s="426" t="s">
        <v>178</v>
      </c>
      <c r="CH189" s="595">
        <v>13.5</v>
      </c>
      <c r="CI189" s="596">
        <v>2</v>
      </c>
      <c r="CJ189" s="579">
        <f t="shared" si="105"/>
        <v>27</v>
      </c>
      <c r="CK189" s="412"/>
      <c r="CL189" s="412"/>
      <c r="CM189" s="413"/>
      <c r="CN189" s="410"/>
      <c r="CO189" s="410"/>
      <c r="CP189" s="282"/>
    </row>
    <row r="190" spans="4:388" ht="13.5" thickBot="1">
      <c r="G190" s="74"/>
      <c r="CE190" s="654"/>
      <c r="CF190" s="652"/>
      <c r="CG190" s="428" t="s">
        <v>179</v>
      </c>
      <c r="CH190" s="592">
        <v>51.7</v>
      </c>
      <c r="CI190" s="593">
        <v>2</v>
      </c>
      <c r="CJ190" s="580">
        <f t="shared" si="105"/>
        <v>103</v>
      </c>
      <c r="CK190" s="416"/>
      <c r="CL190" s="416"/>
      <c r="CM190" s="417"/>
      <c r="CN190" s="410"/>
      <c r="CO190" s="410"/>
      <c r="CP190" s="282"/>
      <c r="EG190" s="15"/>
      <c r="EH190" s="15"/>
      <c r="EI190" s="15"/>
      <c r="EJ190" s="15"/>
      <c r="EK190" s="15"/>
      <c r="EL190" s="15"/>
      <c r="EM190" s="15"/>
      <c r="EN190" s="15"/>
      <c r="EO190" s="15"/>
      <c r="EP190" s="15"/>
      <c r="EQ190" s="15"/>
      <c r="ER190" s="15"/>
      <c r="ES190" s="15"/>
      <c r="ET190" s="15"/>
      <c r="EU190" s="15"/>
      <c r="EV190" s="15"/>
      <c r="EW190" s="15"/>
      <c r="EX190" s="15"/>
      <c r="FA190" s="15"/>
      <c r="FB190" s="15"/>
      <c r="FC190" s="15"/>
      <c r="FD190" s="15"/>
      <c r="FE190" s="15"/>
      <c r="FF190" s="15"/>
      <c r="FG190" s="15"/>
      <c r="FH190" s="15"/>
      <c r="FI190" s="15"/>
      <c r="FJ190" s="15"/>
      <c r="FK190" s="15"/>
      <c r="FL190" s="15"/>
      <c r="FM190" s="15"/>
      <c r="FN190" s="15"/>
      <c r="FO190" s="15"/>
      <c r="FP190" s="15"/>
      <c r="FQ190" s="15"/>
      <c r="FR190" s="15"/>
      <c r="FS190" s="15"/>
      <c r="FT190" s="15"/>
      <c r="FU190" s="15"/>
      <c r="FV190" s="15"/>
      <c r="FW190" s="15"/>
      <c r="FX190" s="15"/>
      <c r="FY190" s="15"/>
      <c r="FZ190" s="15"/>
      <c r="GA190" s="15"/>
      <c r="GB190" s="15"/>
      <c r="GC190" s="15"/>
      <c r="GD190" s="15"/>
      <c r="GE190" s="15"/>
      <c r="GF190" s="15"/>
      <c r="GG190" s="15"/>
      <c r="GH190" s="15"/>
      <c r="GI190" s="15"/>
      <c r="GJ190" s="15"/>
      <c r="GK190" s="15"/>
      <c r="GL190" s="15"/>
      <c r="GM190" s="15"/>
      <c r="GN190" s="15"/>
      <c r="GO190" s="15"/>
      <c r="GP190" s="15"/>
      <c r="GQ190" s="15"/>
      <c r="GR190" s="15"/>
      <c r="GS190" s="15"/>
      <c r="GT190" s="15"/>
      <c r="GU190" s="15"/>
      <c r="GV190" s="15"/>
      <c r="GW190" s="15"/>
      <c r="GX190" s="15"/>
      <c r="GY190" s="15"/>
      <c r="GZ190" s="15"/>
      <c r="HA190" s="15"/>
      <c r="HB190" s="15"/>
      <c r="HC190" s="15"/>
      <c r="HD190" s="15"/>
      <c r="HE190" s="15"/>
      <c r="HF190" s="15"/>
      <c r="HG190" s="15"/>
      <c r="HH190" s="15"/>
      <c r="HI190" s="15"/>
      <c r="HJ190" s="15"/>
      <c r="HK190" s="15"/>
      <c r="HL190" s="15"/>
      <c r="HM190" s="15"/>
      <c r="HN190" s="15"/>
      <c r="HO190" s="15"/>
      <c r="HP190" s="15"/>
      <c r="HQ190" s="15"/>
      <c r="HR190" s="15"/>
      <c r="HS190" s="15"/>
      <c r="HT190" s="15"/>
      <c r="HU190" s="15"/>
      <c r="HV190" s="15"/>
      <c r="HW190" s="15"/>
      <c r="HX190" s="15"/>
      <c r="HY190" s="15"/>
      <c r="HZ190" s="15"/>
      <c r="IA190" s="15"/>
      <c r="IB190" s="15"/>
      <c r="IC190" s="15"/>
      <c r="ID190" s="15"/>
      <c r="IE190" s="15"/>
      <c r="IF190" s="15"/>
      <c r="IG190" s="15"/>
      <c r="IH190" s="15"/>
      <c r="II190" s="15"/>
      <c r="IJ190" s="15"/>
      <c r="IK190" s="15"/>
      <c r="IL190" s="15"/>
      <c r="IM190" s="15"/>
      <c r="IN190" s="15"/>
      <c r="IO190" s="15"/>
      <c r="IP190" s="15"/>
      <c r="IQ190" s="15"/>
      <c r="IR190" s="15"/>
      <c r="IS190" s="15"/>
      <c r="IT190" s="15"/>
      <c r="IU190" s="15"/>
      <c r="IV190" s="15"/>
      <c r="IW190" s="15"/>
      <c r="IX190" s="15"/>
      <c r="IY190" s="15"/>
      <c r="IZ190" s="15"/>
      <c r="JA190" s="15"/>
      <c r="JB190" s="15"/>
      <c r="JC190" s="15"/>
      <c r="JD190" s="15"/>
      <c r="JE190" s="15"/>
      <c r="JF190" s="15"/>
      <c r="JG190" s="15"/>
      <c r="JH190" s="15"/>
      <c r="JI190" s="15"/>
      <c r="JJ190" s="15"/>
      <c r="JK190" s="15"/>
      <c r="JL190" s="15"/>
      <c r="JM190" s="15"/>
      <c r="JN190" s="15"/>
      <c r="JO190" s="15"/>
      <c r="JP190" s="15"/>
      <c r="JQ190" s="15"/>
      <c r="JR190" s="15"/>
      <c r="JS190" s="15"/>
      <c r="JT190" s="15"/>
      <c r="JU190" s="15"/>
      <c r="JV190" s="15"/>
      <c r="JW190" s="15"/>
      <c r="JX190" s="15"/>
      <c r="JY190" s="15"/>
      <c r="JZ190" s="15"/>
      <c r="KA190" s="15"/>
      <c r="KB190" s="15"/>
      <c r="KC190" s="15"/>
      <c r="KD190" s="15"/>
      <c r="KE190" s="15"/>
      <c r="KF190" s="15"/>
      <c r="KG190" s="15"/>
      <c r="KH190" s="15"/>
      <c r="KI190" s="15"/>
      <c r="KJ190" s="15"/>
      <c r="KK190" s="15"/>
      <c r="KL190" s="15"/>
      <c r="KM190" s="15"/>
      <c r="KN190" s="15"/>
      <c r="KO190" s="15"/>
      <c r="KP190" s="15"/>
      <c r="KQ190" s="15"/>
      <c r="KR190" s="15"/>
      <c r="KS190" s="15"/>
      <c r="KT190" s="15"/>
      <c r="KU190" s="15"/>
      <c r="KV190" s="15"/>
      <c r="KW190" s="15"/>
      <c r="KX190" s="15"/>
      <c r="KY190" s="15"/>
      <c r="KZ190" s="15"/>
      <c r="LA190" s="15"/>
      <c r="LB190" s="15"/>
      <c r="LC190" s="15"/>
      <c r="LD190" s="15"/>
      <c r="LE190" s="15"/>
      <c r="LF190" s="15"/>
      <c r="LG190" s="15"/>
      <c r="LH190" s="15"/>
      <c r="LI190" s="15"/>
      <c r="LJ190" s="15"/>
      <c r="LK190" s="15"/>
      <c r="LL190" s="15"/>
      <c r="LM190" s="15"/>
      <c r="LN190" s="15"/>
      <c r="LO190" s="15"/>
      <c r="LP190" s="15"/>
      <c r="LQ190" s="15"/>
      <c r="LR190" s="15"/>
      <c r="LS190" s="15"/>
      <c r="LT190" s="15"/>
      <c r="LU190" s="15"/>
      <c r="LV190" s="15"/>
      <c r="NW190" s="15"/>
      <c r="NX190" s="15"/>
    </row>
    <row r="191" spans="4:388">
      <c r="G191" s="74"/>
      <c r="CE191" s="654"/>
      <c r="CF191" s="648" t="s">
        <v>25</v>
      </c>
      <c r="CG191" s="430" t="s">
        <v>178</v>
      </c>
      <c r="CH191" s="595">
        <v>18</v>
      </c>
      <c r="CI191" s="596">
        <v>20</v>
      </c>
      <c r="CJ191" s="579">
        <f t="shared" si="105"/>
        <v>360</v>
      </c>
      <c r="CK191" s="412" t="s">
        <v>275</v>
      </c>
      <c r="CL191" s="412"/>
      <c r="CM191" s="413"/>
      <c r="CN191" s="410"/>
      <c r="CO191" s="410"/>
      <c r="CP191" s="282"/>
      <c r="EG191" s="15"/>
      <c r="EH191" s="15"/>
      <c r="EI191" s="15"/>
      <c r="EJ191" s="15"/>
      <c r="EK191" s="15"/>
      <c r="EL191" s="15"/>
      <c r="EM191" s="15"/>
      <c r="EN191" s="15"/>
      <c r="EO191" s="15"/>
      <c r="EP191" s="15"/>
      <c r="EQ191" s="15"/>
      <c r="ER191" s="15"/>
      <c r="ES191" s="15"/>
      <c r="ET191" s="15"/>
      <c r="EU191" s="15"/>
      <c r="EV191" s="15"/>
      <c r="EW191" s="15"/>
      <c r="EX191" s="15"/>
      <c r="FA191" s="15"/>
      <c r="FB191" s="15"/>
      <c r="FC191" s="15"/>
      <c r="FD191" s="15"/>
      <c r="FE191" s="15"/>
      <c r="FF191" s="15"/>
      <c r="FG191" s="15"/>
      <c r="FH191" s="15"/>
      <c r="FI191" s="15"/>
      <c r="FJ191" s="15"/>
      <c r="FK191" s="15"/>
      <c r="FL191" s="15"/>
      <c r="FM191" s="15"/>
      <c r="FN191" s="15"/>
      <c r="FO191" s="15"/>
      <c r="FP191" s="15"/>
      <c r="FQ191" s="15"/>
      <c r="FR191" s="15"/>
      <c r="FS191" s="15"/>
      <c r="FT191" s="15"/>
      <c r="FU191" s="15"/>
      <c r="FV191" s="15"/>
      <c r="FW191" s="15"/>
      <c r="FX191" s="15"/>
      <c r="FY191" s="15"/>
      <c r="FZ191" s="15"/>
      <c r="GA191" s="15"/>
      <c r="GB191" s="15"/>
      <c r="GC191" s="15"/>
      <c r="GD191" s="15"/>
      <c r="GE191" s="15"/>
      <c r="GF191" s="15"/>
      <c r="GG191" s="15"/>
      <c r="GH191" s="15"/>
      <c r="GI191" s="15"/>
      <c r="GJ191" s="15"/>
      <c r="GK191" s="15"/>
      <c r="GL191" s="15"/>
      <c r="GM191" s="15"/>
      <c r="GN191" s="15"/>
      <c r="GO191" s="15"/>
      <c r="GP191" s="15"/>
      <c r="GQ191" s="15"/>
      <c r="GR191" s="15"/>
      <c r="GS191" s="15"/>
      <c r="GT191" s="15"/>
      <c r="GU191" s="15"/>
      <c r="GV191" s="15"/>
      <c r="GW191" s="15"/>
      <c r="GX191" s="15"/>
      <c r="GY191" s="15"/>
      <c r="GZ191" s="15"/>
      <c r="HA191" s="15"/>
      <c r="HB191" s="15"/>
      <c r="HC191" s="15"/>
      <c r="HD191" s="15"/>
      <c r="HE191" s="15"/>
      <c r="HF191" s="15"/>
      <c r="HG191" s="15"/>
      <c r="HH191" s="15"/>
      <c r="HI191" s="15"/>
      <c r="HJ191" s="15"/>
      <c r="HK191" s="15"/>
      <c r="HL191" s="15"/>
      <c r="HM191" s="15"/>
      <c r="HN191" s="15"/>
      <c r="HO191" s="15"/>
      <c r="HP191" s="15"/>
      <c r="HQ191" s="15"/>
      <c r="HR191" s="15"/>
      <c r="HS191" s="15"/>
      <c r="HT191" s="15"/>
      <c r="HU191" s="15"/>
      <c r="HV191" s="15"/>
      <c r="HW191" s="15"/>
      <c r="HX191" s="15"/>
      <c r="HY191" s="15"/>
      <c r="HZ191" s="15"/>
      <c r="IA191" s="15"/>
      <c r="IB191" s="15"/>
      <c r="IC191" s="15"/>
      <c r="ID191" s="15"/>
      <c r="IE191" s="15"/>
      <c r="IF191" s="15"/>
      <c r="IG191" s="15"/>
      <c r="IH191" s="15"/>
      <c r="II191" s="15"/>
      <c r="IJ191" s="15"/>
      <c r="IK191" s="15"/>
      <c r="IL191" s="15"/>
      <c r="IM191" s="15"/>
      <c r="IN191" s="15"/>
      <c r="IO191" s="15"/>
      <c r="IP191" s="15"/>
      <c r="IQ191" s="15"/>
      <c r="IR191" s="15"/>
      <c r="IS191" s="15"/>
      <c r="IT191" s="15"/>
      <c r="IU191" s="15"/>
      <c r="IV191" s="15"/>
      <c r="IW191" s="15"/>
      <c r="IX191" s="15"/>
      <c r="IY191" s="15"/>
      <c r="IZ191" s="15"/>
      <c r="JA191" s="15"/>
      <c r="JB191" s="15"/>
      <c r="JC191" s="15"/>
      <c r="JD191" s="15"/>
      <c r="JE191" s="15"/>
      <c r="JF191" s="15"/>
      <c r="JG191" s="15"/>
      <c r="JH191" s="15"/>
      <c r="JI191" s="15"/>
      <c r="JJ191" s="15"/>
      <c r="JK191" s="15"/>
      <c r="JL191" s="15"/>
      <c r="JM191" s="15"/>
      <c r="JN191" s="15"/>
      <c r="JO191" s="15"/>
      <c r="JP191" s="15"/>
      <c r="JQ191" s="15"/>
      <c r="JR191" s="15"/>
      <c r="JS191" s="15"/>
      <c r="JT191" s="15"/>
      <c r="JU191" s="15"/>
      <c r="JV191" s="15"/>
      <c r="JW191" s="15"/>
      <c r="JX191" s="15"/>
      <c r="JY191" s="15"/>
      <c r="JZ191" s="15"/>
      <c r="KA191" s="15"/>
      <c r="KB191" s="15"/>
      <c r="KC191" s="15"/>
      <c r="KD191" s="15"/>
      <c r="KE191" s="15"/>
      <c r="KF191" s="15"/>
      <c r="KG191" s="15"/>
      <c r="KH191" s="15"/>
      <c r="KI191" s="15"/>
      <c r="KJ191" s="15"/>
      <c r="KK191" s="15"/>
      <c r="KL191" s="15"/>
      <c r="KM191" s="15"/>
      <c r="KN191" s="15"/>
      <c r="KO191" s="15"/>
      <c r="KP191" s="15"/>
      <c r="KQ191" s="15"/>
      <c r="KR191" s="15"/>
      <c r="KS191" s="15"/>
      <c r="KT191" s="15"/>
      <c r="KU191" s="15"/>
      <c r="KV191" s="15"/>
      <c r="KW191" s="15"/>
      <c r="KX191" s="15"/>
      <c r="KY191" s="15"/>
      <c r="KZ191" s="15"/>
      <c r="LA191" s="15"/>
      <c r="LB191" s="15"/>
      <c r="LC191" s="15"/>
      <c r="LD191" s="15"/>
      <c r="LE191" s="15"/>
      <c r="LF191" s="15"/>
      <c r="LG191" s="15"/>
      <c r="LH191" s="15"/>
      <c r="LI191" s="15"/>
      <c r="LJ191" s="15"/>
      <c r="LK191" s="15"/>
      <c r="LL191" s="15"/>
      <c r="LM191" s="15"/>
      <c r="LN191" s="15"/>
      <c r="LO191" s="15"/>
      <c r="LP191" s="15"/>
      <c r="LQ191" s="15"/>
      <c r="LR191" s="15"/>
      <c r="LS191" s="15"/>
      <c r="LT191" s="15"/>
      <c r="LU191" s="15"/>
      <c r="LV191" s="15"/>
      <c r="NW191" s="15"/>
      <c r="NX191" s="15"/>
    </row>
    <row r="192" spans="4:388">
      <c r="G192" s="74"/>
      <c r="CE192" s="654"/>
      <c r="CF192" s="649"/>
      <c r="CG192" s="431" t="s">
        <v>179</v>
      </c>
      <c r="CH192" s="597">
        <v>41.3</v>
      </c>
      <c r="CI192" s="598">
        <v>20</v>
      </c>
      <c r="CJ192" s="581">
        <f t="shared" si="105"/>
        <v>826</v>
      </c>
      <c r="CK192" s="414" t="s">
        <v>275</v>
      </c>
      <c r="CL192" s="414"/>
      <c r="CM192" s="415"/>
      <c r="CN192" s="410"/>
      <c r="CO192" s="410"/>
      <c r="CP192" s="282"/>
      <c r="EG192" s="15"/>
      <c r="EH192" s="15"/>
      <c r="EI192" s="15"/>
      <c r="EJ192" s="15"/>
      <c r="EK192" s="15"/>
      <c r="EL192" s="15"/>
      <c r="EM192" s="15"/>
      <c r="EN192" s="15"/>
      <c r="EO192" s="15"/>
      <c r="EP192" s="15"/>
      <c r="EQ192" s="15"/>
      <c r="ER192" s="15"/>
      <c r="ES192" s="15"/>
      <c r="ET192" s="15"/>
      <c r="EU192" s="15"/>
      <c r="EV192" s="15"/>
      <c r="EW192" s="15"/>
      <c r="EX192" s="15"/>
      <c r="FA192" s="15"/>
      <c r="FB192" s="15"/>
      <c r="FC192" s="15"/>
      <c r="FD192" s="15"/>
      <c r="FE192" s="15"/>
      <c r="FF192" s="15"/>
      <c r="FG192" s="15"/>
      <c r="FH192" s="15"/>
      <c r="FI192" s="15"/>
      <c r="FJ192" s="15"/>
      <c r="FK192" s="15"/>
      <c r="FL192" s="15"/>
      <c r="FM192" s="15"/>
      <c r="FN192" s="15"/>
      <c r="FO192" s="15"/>
      <c r="FP192" s="15"/>
      <c r="FQ192" s="15"/>
      <c r="FR192" s="15"/>
      <c r="FS192" s="15"/>
      <c r="FT192" s="15"/>
      <c r="FU192" s="15"/>
      <c r="FV192" s="15"/>
      <c r="FW192" s="15"/>
      <c r="FX192" s="15"/>
      <c r="FY192" s="15"/>
      <c r="FZ192" s="15"/>
      <c r="GA192" s="15"/>
      <c r="GB192" s="15"/>
      <c r="GC192" s="15"/>
      <c r="GD192" s="15"/>
      <c r="GE192" s="15"/>
      <c r="GF192" s="15"/>
      <c r="GG192" s="15"/>
      <c r="GH192" s="15"/>
      <c r="GI192" s="15"/>
      <c r="GJ192" s="15"/>
      <c r="GK192" s="15"/>
      <c r="GL192" s="15"/>
      <c r="GM192" s="15"/>
      <c r="GN192" s="15"/>
      <c r="GO192" s="15"/>
      <c r="GP192" s="15"/>
      <c r="GQ192" s="15"/>
      <c r="GR192" s="15"/>
      <c r="GS192" s="15"/>
      <c r="GT192" s="15"/>
      <c r="GU192" s="15"/>
      <c r="GV192" s="15"/>
      <c r="GW192" s="15"/>
      <c r="GX192" s="15"/>
      <c r="GY192" s="15"/>
      <c r="GZ192" s="15"/>
      <c r="HA192" s="15"/>
      <c r="HB192" s="15"/>
      <c r="HC192" s="15"/>
      <c r="HD192" s="15"/>
      <c r="HE192" s="15"/>
      <c r="HF192" s="15"/>
      <c r="HG192" s="15"/>
      <c r="HH192" s="15"/>
      <c r="HI192" s="15"/>
      <c r="HJ192" s="15"/>
      <c r="HK192" s="15"/>
      <c r="HL192" s="15"/>
      <c r="HM192" s="15"/>
      <c r="HN192" s="15"/>
      <c r="HO192" s="15"/>
      <c r="HP192" s="15"/>
      <c r="HQ192" s="15"/>
      <c r="HR192" s="15"/>
      <c r="HS192" s="15"/>
      <c r="HT192" s="15"/>
      <c r="HU192" s="15"/>
      <c r="HV192" s="15"/>
      <c r="HW192" s="15"/>
      <c r="HX192" s="15"/>
      <c r="HY192" s="15"/>
      <c r="HZ192" s="15"/>
      <c r="IA192" s="15"/>
      <c r="IB192" s="15"/>
      <c r="IC192" s="15"/>
      <c r="ID192" s="15"/>
      <c r="IE192" s="15"/>
      <c r="IF192" s="15"/>
      <c r="IG192" s="15"/>
      <c r="IH192" s="15"/>
      <c r="II192" s="15"/>
      <c r="IJ192" s="15"/>
      <c r="IK192" s="15"/>
      <c r="IL192" s="15"/>
      <c r="IM192" s="15"/>
      <c r="IN192" s="15"/>
      <c r="IO192" s="15"/>
      <c r="IP192" s="15"/>
      <c r="IQ192" s="15"/>
      <c r="IR192" s="15"/>
      <c r="IS192" s="15"/>
      <c r="IT192" s="15"/>
      <c r="IU192" s="15"/>
      <c r="IV192" s="15"/>
      <c r="IW192" s="15"/>
      <c r="IX192" s="15"/>
      <c r="IY192" s="15"/>
      <c r="IZ192" s="15"/>
      <c r="JA192" s="15"/>
      <c r="JB192" s="15"/>
      <c r="JC192" s="15"/>
      <c r="JD192" s="15"/>
      <c r="JE192" s="15"/>
      <c r="JF192" s="15"/>
      <c r="JG192" s="15"/>
      <c r="JH192" s="15"/>
      <c r="JI192" s="15"/>
      <c r="JJ192" s="15"/>
      <c r="JK192" s="15"/>
      <c r="JL192" s="15"/>
      <c r="JM192" s="15"/>
      <c r="JN192" s="15"/>
      <c r="JO192" s="15"/>
      <c r="JP192" s="15"/>
      <c r="JQ192" s="15"/>
      <c r="JR192" s="15"/>
      <c r="JS192" s="15"/>
      <c r="JT192" s="15"/>
      <c r="JU192" s="15"/>
      <c r="JV192" s="15"/>
      <c r="JW192" s="15"/>
      <c r="JX192" s="15"/>
      <c r="JY192" s="15"/>
      <c r="JZ192" s="15"/>
      <c r="KA192" s="15"/>
      <c r="KB192" s="15"/>
      <c r="KC192" s="15"/>
      <c r="KD192" s="15"/>
      <c r="KE192" s="15"/>
      <c r="KF192" s="15"/>
      <c r="KG192" s="15"/>
      <c r="KH192" s="15"/>
      <c r="KI192" s="15"/>
      <c r="KJ192" s="15"/>
      <c r="KK192" s="15"/>
      <c r="KL192" s="15"/>
      <c r="KM192" s="15"/>
      <c r="KN192" s="15"/>
      <c r="KO192" s="15"/>
      <c r="KP192" s="15"/>
      <c r="KQ192" s="15"/>
      <c r="KR192" s="15"/>
      <c r="KS192" s="15"/>
      <c r="KT192" s="15"/>
      <c r="KU192" s="15"/>
      <c r="KV192" s="15"/>
      <c r="KW192" s="15"/>
      <c r="KX192" s="15"/>
      <c r="KY192" s="15"/>
      <c r="KZ192" s="15"/>
      <c r="LA192" s="15"/>
      <c r="LB192" s="15"/>
      <c r="LC192" s="15"/>
      <c r="LD192" s="15"/>
      <c r="LE192" s="15"/>
      <c r="LF192" s="15"/>
      <c r="LG192" s="15"/>
      <c r="LH192" s="15"/>
      <c r="LI192" s="15"/>
      <c r="LJ192" s="15"/>
      <c r="LK192" s="15"/>
      <c r="LL192" s="15"/>
      <c r="LM192" s="15"/>
      <c r="LN192" s="15"/>
      <c r="LO192" s="15"/>
      <c r="LP192" s="15"/>
      <c r="LQ192" s="15"/>
      <c r="LR192" s="15"/>
      <c r="LS192" s="15"/>
      <c r="LT192" s="15"/>
      <c r="LU192" s="15"/>
      <c r="LV192" s="15"/>
      <c r="NW192" s="15"/>
      <c r="NX192" s="15"/>
    </row>
    <row r="193" spans="4:388" ht="13.5" thickBot="1">
      <c r="G193" s="74"/>
      <c r="CE193" s="655"/>
      <c r="CF193" s="652"/>
      <c r="CG193" s="432" t="s">
        <v>128</v>
      </c>
      <c r="CH193" s="592">
        <v>38</v>
      </c>
      <c r="CI193" s="593">
        <v>20</v>
      </c>
      <c r="CJ193" s="580">
        <f t="shared" si="105"/>
        <v>760</v>
      </c>
      <c r="CK193" s="425" t="s">
        <v>275</v>
      </c>
      <c r="CL193" s="416"/>
      <c r="CM193" s="417"/>
      <c r="CN193" s="410"/>
      <c r="CO193" s="410"/>
      <c r="CP193" s="282"/>
      <c r="EG193" s="15"/>
      <c r="EH193" s="15"/>
      <c r="EI193" s="15"/>
      <c r="EJ193" s="15"/>
      <c r="EK193" s="15"/>
      <c r="EL193" s="15"/>
      <c r="EM193" s="15"/>
      <c r="EN193" s="15"/>
      <c r="EO193" s="15"/>
      <c r="EP193" s="15"/>
      <c r="EQ193" s="15"/>
      <c r="ER193" s="15"/>
      <c r="ES193" s="15"/>
      <c r="ET193" s="15"/>
      <c r="EU193" s="15"/>
      <c r="EV193" s="15"/>
      <c r="EW193" s="15"/>
      <c r="EX193" s="15"/>
      <c r="FA193" s="15"/>
      <c r="FB193" s="15"/>
      <c r="FC193" s="15"/>
      <c r="FD193" s="15"/>
      <c r="FE193" s="15"/>
      <c r="FF193" s="15"/>
      <c r="FG193" s="15"/>
      <c r="FH193" s="15"/>
      <c r="FI193" s="15"/>
      <c r="FJ193" s="15"/>
      <c r="FK193" s="15"/>
      <c r="FL193" s="15"/>
      <c r="FM193" s="15"/>
      <c r="FN193" s="15"/>
      <c r="FO193" s="15"/>
      <c r="FP193" s="15"/>
      <c r="FQ193" s="15"/>
      <c r="FR193" s="15"/>
      <c r="FS193" s="15"/>
      <c r="FT193" s="15"/>
      <c r="FU193" s="15"/>
      <c r="FV193" s="15"/>
      <c r="FW193" s="15"/>
      <c r="FX193" s="15"/>
      <c r="FY193" s="15"/>
      <c r="FZ193" s="15"/>
      <c r="GA193" s="15"/>
      <c r="GB193" s="15"/>
      <c r="GC193" s="15"/>
      <c r="GD193" s="15"/>
      <c r="GE193" s="15"/>
      <c r="GF193" s="15"/>
      <c r="GG193" s="15"/>
      <c r="GH193" s="15"/>
      <c r="GI193" s="15"/>
      <c r="GJ193" s="15"/>
      <c r="GK193" s="15"/>
      <c r="GL193" s="15"/>
      <c r="GM193" s="15"/>
      <c r="GN193" s="15"/>
      <c r="GO193" s="15"/>
      <c r="GP193" s="15"/>
      <c r="GQ193" s="15"/>
      <c r="GR193" s="15"/>
      <c r="GS193" s="15"/>
      <c r="GT193" s="15"/>
      <c r="GU193" s="15"/>
      <c r="GV193" s="15"/>
      <c r="GW193" s="15"/>
      <c r="GX193" s="15"/>
      <c r="GY193" s="15"/>
      <c r="GZ193" s="15"/>
      <c r="HA193" s="15"/>
      <c r="HB193" s="15"/>
      <c r="HC193" s="15"/>
      <c r="HD193" s="15"/>
      <c r="HE193" s="15"/>
      <c r="HF193" s="15"/>
      <c r="HG193" s="15"/>
      <c r="HH193" s="15"/>
      <c r="HI193" s="15"/>
      <c r="HJ193" s="15"/>
      <c r="HK193" s="15"/>
      <c r="HL193" s="15"/>
      <c r="HM193" s="15"/>
      <c r="HN193" s="15"/>
      <c r="HO193" s="15"/>
      <c r="HP193" s="15"/>
      <c r="HQ193" s="15"/>
      <c r="HR193" s="15"/>
      <c r="HS193" s="15"/>
      <c r="HT193" s="15"/>
      <c r="HU193" s="15"/>
      <c r="HV193" s="15"/>
      <c r="HW193" s="15"/>
      <c r="HX193" s="15"/>
      <c r="HY193" s="15"/>
      <c r="HZ193" s="15"/>
      <c r="IA193" s="15"/>
      <c r="IB193" s="15"/>
      <c r="IC193" s="15"/>
      <c r="ID193" s="15"/>
      <c r="IE193" s="15"/>
      <c r="IF193" s="15"/>
      <c r="IG193" s="15"/>
      <c r="IH193" s="15"/>
      <c r="II193" s="15"/>
      <c r="IJ193" s="15"/>
      <c r="IK193" s="15"/>
      <c r="IL193" s="15"/>
      <c r="IM193" s="15"/>
      <c r="IN193" s="15"/>
      <c r="IO193" s="15"/>
      <c r="IP193" s="15"/>
      <c r="IQ193" s="15"/>
      <c r="IR193" s="15"/>
      <c r="IS193" s="15"/>
      <c r="IT193" s="15"/>
      <c r="IU193" s="15"/>
      <c r="IV193" s="15"/>
      <c r="IW193" s="15"/>
      <c r="IX193" s="15"/>
      <c r="IY193" s="15"/>
      <c r="IZ193" s="15"/>
      <c r="JA193" s="15"/>
      <c r="JB193" s="15"/>
      <c r="JC193" s="15"/>
      <c r="JD193" s="15"/>
      <c r="JE193" s="15"/>
      <c r="JF193" s="15"/>
      <c r="JG193" s="15"/>
      <c r="JH193" s="15"/>
      <c r="JI193" s="15"/>
      <c r="JJ193" s="15"/>
      <c r="JK193" s="15"/>
      <c r="JL193" s="15"/>
      <c r="JM193" s="15"/>
      <c r="JN193" s="15"/>
      <c r="JO193" s="15"/>
      <c r="JP193" s="15"/>
      <c r="JQ193" s="15"/>
      <c r="JR193" s="15"/>
      <c r="JS193" s="15"/>
      <c r="JT193" s="15"/>
      <c r="JU193" s="15"/>
      <c r="JV193" s="15"/>
      <c r="JW193" s="15"/>
      <c r="JX193" s="15"/>
      <c r="JY193" s="15"/>
      <c r="JZ193" s="15"/>
      <c r="KA193" s="15"/>
      <c r="KB193" s="15"/>
      <c r="KC193" s="15"/>
      <c r="KD193" s="15"/>
      <c r="KE193" s="15"/>
      <c r="KF193" s="15"/>
      <c r="KG193" s="15"/>
      <c r="KH193" s="15"/>
      <c r="KI193" s="15"/>
      <c r="KJ193" s="15"/>
      <c r="KK193" s="15"/>
      <c r="KL193" s="15"/>
      <c r="KM193" s="15"/>
      <c r="KN193" s="15"/>
      <c r="KO193" s="15"/>
      <c r="KP193" s="15"/>
      <c r="KQ193" s="15"/>
      <c r="KR193" s="15"/>
      <c r="KS193" s="15"/>
      <c r="KT193" s="15"/>
      <c r="KU193" s="15"/>
      <c r="KV193" s="15"/>
      <c r="KW193" s="15"/>
      <c r="KX193" s="15"/>
      <c r="KY193" s="15"/>
      <c r="KZ193" s="15"/>
      <c r="LA193" s="15"/>
      <c r="LB193" s="15"/>
      <c r="LC193" s="15"/>
      <c r="LD193" s="15"/>
      <c r="LE193" s="15"/>
      <c r="LF193" s="15"/>
      <c r="LG193" s="15"/>
      <c r="LH193" s="15"/>
      <c r="LI193" s="15"/>
      <c r="LJ193" s="15"/>
      <c r="LK193" s="15"/>
      <c r="LL193" s="15"/>
      <c r="LM193" s="15"/>
      <c r="LN193" s="15"/>
      <c r="LO193" s="15"/>
      <c r="LP193" s="15"/>
      <c r="LQ193" s="15"/>
      <c r="LR193" s="15"/>
      <c r="LS193" s="15"/>
      <c r="LT193" s="15"/>
      <c r="LU193" s="15"/>
      <c r="LV193" s="15"/>
      <c r="NW193" s="15"/>
      <c r="NX193" s="15"/>
    </row>
    <row r="194" spans="4:388" ht="12.75" customHeight="1">
      <c r="D194" s="15"/>
      <c r="E194" s="15"/>
      <c r="F194" s="15"/>
      <c r="G194" s="74"/>
      <c r="CE194" s="647" t="s">
        <v>187</v>
      </c>
      <c r="CF194" s="647"/>
      <c r="CG194" s="647"/>
      <c r="CH194" s="647"/>
      <c r="CI194" s="647"/>
      <c r="CJ194" s="647"/>
      <c r="CK194" s="647"/>
      <c r="CL194" s="647"/>
      <c r="CM194" s="647"/>
      <c r="CN194" s="647"/>
      <c r="CO194" s="647"/>
      <c r="CP194" s="282"/>
      <c r="EG194" s="15"/>
      <c r="EH194" s="15"/>
      <c r="EI194" s="15"/>
      <c r="EJ194" s="15"/>
      <c r="EK194" s="15"/>
      <c r="EL194" s="15"/>
      <c r="EM194" s="15"/>
      <c r="EN194" s="15"/>
      <c r="EO194" s="15"/>
      <c r="EP194" s="15"/>
      <c r="EQ194" s="15"/>
      <c r="ER194" s="15"/>
      <c r="ES194" s="15"/>
      <c r="ET194" s="15"/>
      <c r="EU194" s="15"/>
      <c r="EV194" s="15"/>
      <c r="EW194" s="15"/>
      <c r="EX194" s="15"/>
      <c r="FA194" s="15"/>
      <c r="FB194" s="15"/>
      <c r="FC194" s="15"/>
      <c r="FD194" s="15"/>
      <c r="FE194" s="15"/>
      <c r="FF194" s="15"/>
      <c r="FG194" s="15"/>
      <c r="FH194" s="15"/>
      <c r="FI194" s="15"/>
      <c r="FJ194" s="15"/>
      <c r="FK194" s="15"/>
      <c r="FL194" s="15"/>
      <c r="FM194" s="15"/>
      <c r="FN194" s="15"/>
      <c r="FO194" s="15"/>
      <c r="FP194" s="15"/>
      <c r="FQ194" s="15"/>
      <c r="FR194" s="15"/>
      <c r="FS194" s="15"/>
      <c r="FT194" s="15"/>
      <c r="FU194" s="15"/>
      <c r="FV194" s="15"/>
      <c r="FW194" s="15"/>
      <c r="FX194" s="15"/>
      <c r="FY194" s="15"/>
      <c r="FZ194" s="15"/>
      <c r="GA194" s="15"/>
      <c r="GB194" s="15"/>
      <c r="GC194" s="15"/>
      <c r="GD194" s="15"/>
      <c r="GE194" s="15"/>
      <c r="GF194" s="15"/>
      <c r="GG194" s="15"/>
      <c r="GH194" s="15"/>
      <c r="GI194" s="15"/>
      <c r="GJ194" s="15"/>
      <c r="GK194" s="15"/>
      <c r="GL194" s="15"/>
      <c r="GM194" s="15"/>
      <c r="GN194" s="15"/>
      <c r="GO194" s="15"/>
      <c r="GP194" s="15"/>
      <c r="GQ194" s="15"/>
      <c r="GR194" s="15"/>
      <c r="GS194" s="15"/>
      <c r="GT194" s="15"/>
      <c r="GU194" s="15"/>
      <c r="GV194" s="15"/>
      <c r="GW194" s="15"/>
      <c r="GX194" s="15"/>
      <c r="GY194" s="15"/>
      <c r="GZ194" s="15"/>
      <c r="HA194" s="15"/>
      <c r="HB194" s="15"/>
      <c r="HC194" s="15"/>
      <c r="HD194" s="15"/>
      <c r="HE194" s="15"/>
      <c r="HF194" s="15"/>
      <c r="HG194" s="15"/>
      <c r="HH194" s="15"/>
      <c r="HI194" s="15"/>
      <c r="HJ194" s="15"/>
      <c r="HK194" s="15"/>
      <c r="HL194" s="15"/>
      <c r="HM194" s="15"/>
      <c r="HN194" s="15"/>
      <c r="HO194" s="15"/>
      <c r="HP194" s="15"/>
      <c r="HQ194" s="15"/>
      <c r="HR194" s="15"/>
      <c r="HS194" s="15"/>
      <c r="HT194" s="15"/>
      <c r="HU194" s="15"/>
      <c r="HV194" s="15"/>
      <c r="HW194" s="15"/>
      <c r="HX194" s="15"/>
      <c r="HY194" s="15"/>
      <c r="HZ194" s="15"/>
      <c r="IA194" s="15"/>
      <c r="IB194" s="15"/>
      <c r="IC194" s="15"/>
      <c r="ID194" s="15"/>
      <c r="IE194" s="15"/>
      <c r="IF194" s="15"/>
      <c r="IG194" s="15"/>
      <c r="IH194" s="15"/>
      <c r="II194" s="15"/>
      <c r="IJ194" s="15"/>
      <c r="IK194" s="15"/>
      <c r="IL194" s="15"/>
      <c r="IM194" s="15"/>
      <c r="IN194" s="15"/>
      <c r="IO194" s="15"/>
      <c r="IP194" s="15"/>
      <c r="IQ194" s="15"/>
      <c r="IR194" s="15"/>
      <c r="IS194" s="15"/>
      <c r="IT194" s="15"/>
      <c r="IU194" s="15"/>
      <c r="IV194" s="15"/>
      <c r="IW194" s="15"/>
      <c r="IX194" s="15"/>
      <c r="IY194" s="15"/>
      <c r="IZ194" s="15"/>
      <c r="JA194" s="15"/>
      <c r="JB194" s="15"/>
      <c r="JC194" s="15"/>
      <c r="JD194" s="15"/>
      <c r="JE194" s="15"/>
      <c r="JF194" s="15"/>
      <c r="JG194" s="15"/>
      <c r="JH194" s="15"/>
      <c r="JI194" s="15"/>
      <c r="JJ194" s="15"/>
      <c r="JK194" s="15"/>
      <c r="JL194" s="15"/>
      <c r="JM194" s="15"/>
      <c r="JN194" s="15"/>
      <c r="JO194" s="15"/>
      <c r="JP194" s="15"/>
      <c r="JQ194" s="15"/>
      <c r="JR194" s="15"/>
      <c r="JS194" s="15"/>
      <c r="JT194" s="15"/>
      <c r="JU194" s="15"/>
      <c r="JV194" s="15"/>
      <c r="JW194" s="15"/>
      <c r="JX194" s="15"/>
      <c r="JY194" s="15"/>
      <c r="JZ194" s="15"/>
      <c r="KA194" s="15"/>
      <c r="KB194" s="15"/>
      <c r="KC194" s="15"/>
      <c r="KD194" s="15"/>
      <c r="KE194" s="15"/>
      <c r="KF194" s="15"/>
      <c r="KG194" s="15"/>
      <c r="KH194" s="15"/>
      <c r="KI194" s="15"/>
      <c r="KJ194" s="15"/>
      <c r="KK194" s="15"/>
      <c r="KL194" s="15"/>
      <c r="KM194" s="15"/>
      <c r="KN194" s="15"/>
      <c r="KO194" s="15"/>
      <c r="KP194" s="15"/>
      <c r="KQ194" s="15"/>
      <c r="KR194" s="15"/>
      <c r="KS194" s="15"/>
      <c r="KT194" s="15"/>
      <c r="KU194" s="15"/>
      <c r="KV194" s="15"/>
      <c r="KW194" s="15"/>
      <c r="KX194" s="15"/>
      <c r="KY194" s="15"/>
      <c r="KZ194" s="15"/>
      <c r="LA194" s="15"/>
      <c r="LB194" s="15"/>
      <c r="LC194" s="15"/>
      <c r="LD194" s="15"/>
      <c r="LE194" s="15"/>
      <c r="LF194" s="15"/>
      <c r="LG194" s="15"/>
      <c r="LH194" s="15"/>
      <c r="LI194" s="15"/>
      <c r="LJ194" s="15"/>
      <c r="LK194" s="15"/>
      <c r="LL194" s="15"/>
      <c r="LM194" s="15"/>
      <c r="LN194" s="15"/>
      <c r="LO194" s="15"/>
      <c r="LP194" s="15"/>
      <c r="LQ194" s="15"/>
      <c r="LR194" s="15"/>
      <c r="LS194" s="15"/>
      <c r="LT194" s="15"/>
      <c r="LU194" s="15"/>
      <c r="LV194" s="15"/>
      <c r="NW194" s="15"/>
      <c r="NX194" s="15"/>
    </row>
    <row r="195" spans="4:388">
      <c r="D195" s="15"/>
      <c r="E195" s="15"/>
      <c r="F195" s="15"/>
      <c r="G195" s="74"/>
      <c r="CE195" s="647"/>
      <c r="CF195" s="647"/>
      <c r="CG195" s="647"/>
      <c r="CH195" s="647"/>
      <c r="CI195" s="647"/>
      <c r="CJ195" s="647"/>
      <c r="CK195" s="647"/>
      <c r="CL195" s="647"/>
      <c r="CM195" s="647"/>
      <c r="CN195" s="647"/>
      <c r="CO195" s="647"/>
      <c r="CP195" s="282"/>
      <c r="EG195" s="15"/>
      <c r="EH195" s="15"/>
      <c r="EI195" s="15"/>
      <c r="EJ195" s="15"/>
      <c r="EK195" s="15"/>
      <c r="EL195" s="15"/>
      <c r="EM195" s="15"/>
      <c r="EN195" s="15"/>
      <c r="EO195" s="15"/>
      <c r="EP195" s="15"/>
      <c r="EQ195" s="15"/>
      <c r="ER195" s="15"/>
      <c r="ES195" s="15"/>
      <c r="ET195" s="15"/>
      <c r="EU195" s="15"/>
      <c r="EV195" s="15"/>
      <c r="EW195" s="15"/>
      <c r="EX195" s="15"/>
      <c r="FA195" s="15"/>
      <c r="FB195" s="15"/>
      <c r="FC195" s="15"/>
      <c r="FD195" s="15"/>
      <c r="FE195" s="15"/>
      <c r="FF195" s="15"/>
      <c r="FG195" s="15"/>
      <c r="FH195" s="15"/>
      <c r="FI195" s="15"/>
      <c r="FJ195" s="15"/>
      <c r="FK195" s="15"/>
      <c r="FL195" s="15"/>
      <c r="FM195" s="15"/>
      <c r="FN195" s="15"/>
      <c r="FO195" s="15"/>
      <c r="FP195" s="15"/>
      <c r="FQ195" s="15"/>
      <c r="FR195" s="15"/>
      <c r="FS195" s="15"/>
      <c r="FT195" s="15"/>
      <c r="FU195" s="15"/>
      <c r="FV195" s="15"/>
      <c r="FW195" s="15"/>
      <c r="FX195" s="15"/>
      <c r="FY195" s="15"/>
      <c r="FZ195" s="15"/>
      <c r="GA195" s="15"/>
      <c r="GB195" s="15"/>
      <c r="GC195" s="15"/>
      <c r="GD195" s="15"/>
      <c r="GE195" s="15"/>
      <c r="GF195" s="15"/>
      <c r="GG195" s="15"/>
      <c r="GH195" s="15"/>
      <c r="GI195" s="15"/>
      <c r="GJ195" s="15"/>
      <c r="GK195" s="15"/>
      <c r="GL195" s="15"/>
      <c r="GM195" s="15"/>
      <c r="GN195" s="15"/>
      <c r="GO195" s="15"/>
      <c r="GP195" s="15"/>
      <c r="GQ195" s="15"/>
      <c r="GR195" s="15"/>
      <c r="GS195" s="15"/>
      <c r="GT195" s="15"/>
      <c r="GU195" s="15"/>
      <c r="GV195" s="15"/>
      <c r="GW195" s="15"/>
      <c r="GX195" s="15"/>
      <c r="GY195" s="15"/>
      <c r="GZ195" s="15"/>
      <c r="HA195" s="15"/>
      <c r="HB195" s="15"/>
      <c r="HC195" s="15"/>
      <c r="HD195" s="15"/>
      <c r="HE195" s="15"/>
      <c r="HF195" s="15"/>
      <c r="HG195" s="15"/>
      <c r="HH195" s="15"/>
      <c r="HI195" s="15"/>
      <c r="HJ195" s="15"/>
      <c r="HK195" s="15"/>
      <c r="HL195" s="15"/>
      <c r="HM195" s="15"/>
      <c r="HN195" s="15"/>
      <c r="HO195" s="15"/>
      <c r="HP195" s="15"/>
      <c r="HQ195" s="15"/>
      <c r="HR195" s="15"/>
      <c r="HS195" s="15"/>
      <c r="HT195" s="15"/>
      <c r="HU195" s="15"/>
      <c r="HV195" s="15"/>
      <c r="HW195" s="15"/>
      <c r="HX195" s="15"/>
      <c r="HY195" s="15"/>
      <c r="HZ195" s="15"/>
      <c r="IA195" s="15"/>
      <c r="IB195" s="15"/>
      <c r="IC195" s="15"/>
      <c r="ID195" s="15"/>
      <c r="IE195" s="15"/>
      <c r="IF195" s="15"/>
      <c r="IG195" s="15"/>
      <c r="IH195" s="15"/>
      <c r="II195" s="15"/>
      <c r="IJ195" s="15"/>
      <c r="IK195" s="15"/>
      <c r="IL195" s="15"/>
      <c r="IM195" s="15"/>
      <c r="IN195" s="15"/>
      <c r="IO195" s="15"/>
      <c r="IP195" s="15"/>
      <c r="IQ195" s="15"/>
      <c r="IR195" s="15"/>
      <c r="IS195" s="15"/>
      <c r="IT195" s="15"/>
      <c r="IU195" s="15"/>
      <c r="IV195" s="15"/>
      <c r="IW195" s="15"/>
      <c r="IX195" s="15"/>
      <c r="IY195" s="15"/>
      <c r="IZ195" s="15"/>
      <c r="JA195" s="15"/>
      <c r="JB195" s="15"/>
      <c r="JC195" s="15"/>
      <c r="JD195" s="15"/>
      <c r="JE195" s="15"/>
      <c r="JF195" s="15"/>
      <c r="JG195" s="15"/>
      <c r="JH195" s="15"/>
      <c r="JI195" s="15"/>
      <c r="JJ195" s="15"/>
      <c r="JK195" s="15"/>
      <c r="JL195" s="15"/>
      <c r="JM195" s="15"/>
      <c r="JN195" s="15"/>
      <c r="JO195" s="15"/>
      <c r="JP195" s="15"/>
      <c r="JQ195" s="15"/>
      <c r="JR195" s="15"/>
      <c r="JS195" s="15"/>
      <c r="JT195" s="15"/>
      <c r="JU195" s="15"/>
      <c r="JV195" s="15"/>
      <c r="JW195" s="15"/>
      <c r="JX195" s="15"/>
      <c r="JY195" s="15"/>
      <c r="JZ195" s="15"/>
      <c r="KA195" s="15"/>
      <c r="KB195" s="15"/>
      <c r="KC195" s="15"/>
      <c r="KD195" s="15"/>
      <c r="KE195" s="15"/>
      <c r="KF195" s="15"/>
      <c r="KG195" s="15"/>
      <c r="KH195" s="15"/>
      <c r="KI195" s="15"/>
      <c r="KJ195" s="15"/>
      <c r="KK195" s="15"/>
      <c r="KL195" s="15"/>
      <c r="KM195" s="15"/>
      <c r="KN195" s="15"/>
      <c r="KO195" s="15"/>
      <c r="KP195" s="15"/>
      <c r="KQ195" s="15"/>
      <c r="KR195" s="15"/>
      <c r="KS195" s="15"/>
      <c r="KT195" s="15"/>
      <c r="KU195" s="15"/>
      <c r="KV195" s="15"/>
      <c r="KW195" s="15"/>
      <c r="KX195" s="15"/>
      <c r="KY195" s="15"/>
      <c r="KZ195" s="15"/>
      <c r="LA195" s="15"/>
      <c r="LB195" s="15"/>
      <c r="LC195" s="15"/>
      <c r="LD195" s="15"/>
      <c r="LE195" s="15"/>
      <c r="LF195" s="15"/>
      <c r="LG195" s="15"/>
      <c r="LH195" s="15"/>
      <c r="LI195" s="15"/>
      <c r="LJ195" s="15"/>
      <c r="LK195" s="15"/>
      <c r="LL195" s="15"/>
      <c r="LM195" s="15"/>
      <c r="LN195" s="15"/>
      <c r="LO195" s="15"/>
      <c r="LP195" s="15"/>
      <c r="LQ195" s="15"/>
      <c r="LR195" s="15"/>
      <c r="LS195" s="15"/>
      <c r="LT195" s="15"/>
      <c r="LU195" s="15"/>
      <c r="LV195" s="15"/>
      <c r="NW195" s="15"/>
      <c r="NX195" s="15"/>
    </row>
    <row r="196" spans="4:388">
      <c r="D196" s="15"/>
      <c r="E196" s="15"/>
      <c r="F196" s="15"/>
      <c r="G196" s="74"/>
      <c r="CE196" s="647"/>
      <c r="CF196" s="647"/>
      <c r="CG196" s="647"/>
      <c r="CH196" s="647"/>
      <c r="CI196" s="647"/>
      <c r="CJ196" s="647"/>
      <c r="CK196" s="647"/>
      <c r="CL196" s="647"/>
      <c r="CM196" s="647"/>
      <c r="CN196" s="647"/>
      <c r="CO196" s="647"/>
      <c r="CP196" s="282"/>
      <c r="EG196" s="15"/>
      <c r="EH196" s="15"/>
      <c r="EI196" s="15"/>
      <c r="EJ196" s="15"/>
      <c r="EK196" s="15"/>
      <c r="EL196" s="15"/>
      <c r="EM196" s="15"/>
      <c r="EN196" s="15"/>
      <c r="EO196" s="15"/>
      <c r="EP196" s="15"/>
      <c r="EQ196" s="15"/>
      <c r="ER196" s="15"/>
      <c r="ES196" s="15"/>
      <c r="ET196" s="15"/>
      <c r="EU196" s="15"/>
      <c r="EV196" s="15"/>
      <c r="EW196" s="15"/>
      <c r="EX196" s="15"/>
      <c r="FA196" s="15"/>
      <c r="FB196" s="15"/>
      <c r="FC196" s="15"/>
      <c r="FD196" s="15"/>
      <c r="FE196" s="15"/>
      <c r="FF196" s="15"/>
      <c r="FG196" s="15"/>
      <c r="FH196" s="15"/>
      <c r="FI196" s="15"/>
      <c r="FJ196" s="15"/>
      <c r="FK196" s="15"/>
      <c r="FL196" s="15"/>
      <c r="FM196" s="15"/>
      <c r="FN196" s="15"/>
      <c r="FO196" s="15"/>
      <c r="FP196" s="15"/>
      <c r="FQ196" s="15"/>
      <c r="FR196" s="15"/>
      <c r="FS196" s="15"/>
      <c r="FT196" s="15"/>
      <c r="FU196" s="15"/>
      <c r="FV196" s="15"/>
      <c r="FW196" s="15"/>
      <c r="FX196" s="15"/>
      <c r="FY196" s="15"/>
      <c r="FZ196" s="15"/>
      <c r="GA196" s="15"/>
      <c r="GB196" s="15"/>
      <c r="GC196" s="15"/>
      <c r="GD196" s="15"/>
      <c r="GE196" s="15"/>
      <c r="GF196" s="15"/>
      <c r="GG196" s="15"/>
      <c r="GH196" s="15"/>
      <c r="GI196" s="15"/>
      <c r="GJ196" s="15"/>
      <c r="GK196" s="15"/>
      <c r="GL196" s="15"/>
      <c r="GM196" s="15"/>
      <c r="GN196" s="15"/>
      <c r="GO196" s="15"/>
      <c r="GP196" s="15"/>
      <c r="GQ196" s="15"/>
      <c r="GR196" s="15"/>
      <c r="GS196" s="15"/>
      <c r="GT196" s="15"/>
      <c r="GU196" s="15"/>
      <c r="GV196" s="15"/>
      <c r="GW196" s="15"/>
      <c r="GX196" s="15"/>
      <c r="GY196" s="15"/>
      <c r="GZ196" s="15"/>
      <c r="HA196" s="15"/>
      <c r="HB196" s="15"/>
      <c r="HC196" s="15"/>
      <c r="HD196" s="15"/>
      <c r="HE196" s="15"/>
      <c r="HF196" s="15"/>
      <c r="HG196" s="15"/>
      <c r="HH196" s="15"/>
      <c r="HI196" s="15"/>
      <c r="HJ196" s="15"/>
      <c r="HK196" s="15"/>
      <c r="HL196" s="15"/>
      <c r="HM196" s="15"/>
      <c r="HN196" s="15"/>
      <c r="HO196" s="15"/>
      <c r="HP196" s="15"/>
      <c r="HQ196" s="15"/>
      <c r="HR196" s="15"/>
      <c r="HS196" s="15"/>
      <c r="HT196" s="15"/>
      <c r="HU196" s="15"/>
      <c r="HV196" s="15"/>
      <c r="HW196" s="15"/>
      <c r="HX196" s="15"/>
      <c r="HY196" s="15"/>
      <c r="HZ196" s="15"/>
      <c r="IA196" s="15"/>
      <c r="IB196" s="15"/>
      <c r="IC196" s="15"/>
      <c r="ID196" s="15"/>
      <c r="IE196" s="15"/>
      <c r="IF196" s="15"/>
      <c r="IG196" s="15"/>
      <c r="IH196" s="15"/>
      <c r="II196" s="15"/>
      <c r="IJ196" s="15"/>
      <c r="IK196" s="15"/>
      <c r="IL196" s="15"/>
      <c r="IM196" s="15"/>
      <c r="IN196" s="15"/>
      <c r="IO196" s="15"/>
      <c r="IP196" s="15"/>
      <c r="IQ196" s="15"/>
      <c r="IR196" s="15"/>
      <c r="IS196" s="15"/>
      <c r="IT196" s="15"/>
      <c r="IU196" s="15"/>
      <c r="IV196" s="15"/>
      <c r="IW196" s="15"/>
      <c r="IX196" s="15"/>
      <c r="IY196" s="15"/>
      <c r="IZ196" s="15"/>
      <c r="JA196" s="15"/>
      <c r="JB196" s="15"/>
      <c r="JC196" s="15"/>
      <c r="JD196" s="15"/>
      <c r="JE196" s="15"/>
      <c r="JF196" s="15"/>
      <c r="JG196" s="15"/>
      <c r="JH196" s="15"/>
      <c r="JI196" s="15"/>
      <c r="JJ196" s="15"/>
      <c r="JK196" s="15"/>
      <c r="JL196" s="15"/>
      <c r="JM196" s="15"/>
      <c r="JN196" s="15"/>
      <c r="JO196" s="15"/>
      <c r="JP196" s="15"/>
      <c r="JQ196" s="15"/>
      <c r="JR196" s="15"/>
      <c r="JS196" s="15"/>
      <c r="JT196" s="15"/>
      <c r="JU196" s="15"/>
      <c r="JV196" s="15"/>
      <c r="JW196" s="15"/>
      <c r="JX196" s="15"/>
      <c r="JY196" s="15"/>
      <c r="JZ196" s="15"/>
      <c r="KA196" s="15"/>
      <c r="KB196" s="15"/>
      <c r="KC196" s="15"/>
      <c r="KD196" s="15"/>
      <c r="KE196" s="15"/>
      <c r="KF196" s="15"/>
      <c r="KG196" s="15"/>
      <c r="KH196" s="15"/>
      <c r="KI196" s="15"/>
      <c r="KJ196" s="15"/>
      <c r="KK196" s="15"/>
      <c r="KL196" s="15"/>
      <c r="KM196" s="15"/>
      <c r="KN196" s="15"/>
      <c r="KO196" s="15"/>
      <c r="KP196" s="15"/>
      <c r="KQ196" s="15"/>
      <c r="KR196" s="15"/>
      <c r="KS196" s="15"/>
      <c r="KT196" s="15"/>
      <c r="KU196" s="15"/>
      <c r="KV196" s="15"/>
      <c r="KW196" s="15"/>
      <c r="KX196" s="15"/>
      <c r="KY196" s="15"/>
      <c r="KZ196" s="15"/>
      <c r="LA196" s="15"/>
      <c r="LB196" s="15"/>
      <c r="LC196" s="15"/>
      <c r="LD196" s="15"/>
      <c r="LE196" s="15"/>
      <c r="LF196" s="15"/>
      <c r="LG196" s="15"/>
      <c r="LH196" s="15"/>
      <c r="LI196" s="15"/>
      <c r="LJ196" s="15"/>
      <c r="LK196" s="15"/>
      <c r="LL196" s="15"/>
      <c r="LM196" s="15"/>
      <c r="LN196" s="15"/>
      <c r="LO196" s="15"/>
      <c r="LP196" s="15"/>
      <c r="LQ196" s="15"/>
      <c r="LR196" s="15"/>
      <c r="LS196" s="15"/>
      <c r="LT196" s="15"/>
      <c r="LU196" s="15"/>
      <c r="LV196" s="15"/>
      <c r="NW196" s="15"/>
      <c r="NX196" s="15"/>
    </row>
    <row r="197" spans="4:388">
      <c r="D197" s="15"/>
      <c r="E197" s="15"/>
      <c r="F197" s="15"/>
      <c r="G197" s="74"/>
      <c r="CE197" s="647"/>
      <c r="CF197" s="647"/>
      <c r="CG197" s="647"/>
      <c r="CH197" s="647"/>
      <c r="CI197" s="647"/>
      <c r="CJ197" s="647"/>
      <c r="CK197" s="647"/>
      <c r="CL197" s="647"/>
      <c r="CM197" s="647"/>
      <c r="CN197" s="647"/>
      <c r="CO197" s="647"/>
      <c r="CP197" s="283"/>
      <c r="EG197" s="15"/>
      <c r="EH197" s="15"/>
      <c r="EI197" s="15"/>
      <c r="EJ197" s="15"/>
      <c r="EK197" s="15"/>
      <c r="EL197" s="15"/>
      <c r="EM197" s="15"/>
      <c r="EN197" s="15"/>
      <c r="EO197" s="15"/>
      <c r="EP197" s="15"/>
      <c r="EQ197" s="15"/>
      <c r="ER197" s="15"/>
      <c r="ES197" s="15"/>
      <c r="ET197" s="15"/>
      <c r="EU197" s="15"/>
      <c r="EV197" s="15"/>
      <c r="EW197" s="15"/>
      <c r="EX197" s="15"/>
      <c r="FA197" s="15"/>
      <c r="FB197" s="15"/>
      <c r="FC197" s="15"/>
      <c r="FD197" s="15"/>
      <c r="FE197" s="15"/>
      <c r="FF197" s="15"/>
      <c r="FG197" s="15"/>
      <c r="FH197" s="15"/>
      <c r="FI197" s="15"/>
      <c r="FJ197" s="15"/>
      <c r="FK197" s="15"/>
      <c r="FL197" s="15"/>
      <c r="FM197" s="15"/>
      <c r="FN197" s="15"/>
      <c r="FO197" s="15"/>
      <c r="FP197" s="15"/>
      <c r="FQ197" s="15"/>
      <c r="FR197" s="15"/>
      <c r="FS197" s="15"/>
      <c r="FT197" s="15"/>
      <c r="FU197" s="15"/>
      <c r="FV197" s="15"/>
      <c r="FW197" s="15"/>
      <c r="FX197" s="15"/>
      <c r="FY197" s="15"/>
      <c r="FZ197" s="15"/>
      <c r="GA197" s="15"/>
      <c r="GB197" s="15"/>
      <c r="GC197" s="15"/>
      <c r="GD197" s="15"/>
      <c r="GE197" s="15"/>
      <c r="GF197" s="15"/>
      <c r="GG197" s="15"/>
      <c r="GH197" s="15"/>
      <c r="GI197" s="15"/>
      <c r="GJ197" s="15"/>
      <c r="GK197" s="15"/>
      <c r="GL197" s="15"/>
      <c r="GM197" s="15"/>
      <c r="GN197" s="15"/>
      <c r="GO197" s="15"/>
      <c r="GP197" s="15"/>
      <c r="GQ197" s="15"/>
      <c r="GR197" s="15"/>
      <c r="GS197" s="15"/>
      <c r="GT197" s="15"/>
      <c r="GU197" s="15"/>
      <c r="GV197" s="15"/>
      <c r="GW197" s="15"/>
      <c r="GX197" s="15"/>
      <c r="GY197" s="15"/>
      <c r="GZ197" s="15"/>
      <c r="HA197" s="15"/>
      <c r="HB197" s="15"/>
      <c r="HC197" s="15"/>
      <c r="HD197" s="15"/>
      <c r="HE197" s="15"/>
      <c r="HF197" s="15"/>
      <c r="HG197" s="15"/>
      <c r="HH197" s="15"/>
      <c r="HI197" s="15"/>
      <c r="HJ197" s="15"/>
      <c r="HK197" s="15"/>
      <c r="HL197" s="15"/>
      <c r="HM197" s="15"/>
      <c r="HN197" s="15"/>
      <c r="HO197" s="15"/>
      <c r="HP197" s="15"/>
      <c r="HQ197" s="15"/>
      <c r="HR197" s="15"/>
      <c r="HS197" s="15"/>
      <c r="HT197" s="15"/>
      <c r="HU197" s="15"/>
      <c r="HV197" s="15"/>
      <c r="HW197" s="15"/>
      <c r="HX197" s="15"/>
      <c r="HY197" s="15"/>
      <c r="HZ197" s="15"/>
      <c r="IA197" s="15"/>
      <c r="IB197" s="15"/>
      <c r="IC197" s="15"/>
      <c r="ID197" s="15"/>
      <c r="IE197" s="15"/>
      <c r="IF197" s="15"/>
      <c r="IG197" s="15"/>
      <c r="IH197" s="15"/>
      <c r="II197" s="15"/>
      <c r="IJ197" s="15"/>
      <c r="IK197" s="15"/>
      <c r="IL197" s="15"/>
      <c r="IM197" s="15"/>
      <c r="IN197" s="15"/>
      <c r="IO197" s="15"/>
      <c r="IP197" s="15"/>
      <c r="IQ197" s="15"/>
      <c r="IR197" s="15"/>
      <c r="IS197" s="15"/>
      <c r="IT197" s="15"/>
      <c r="IU197" s="15"/>
      <c r="IV197" s="15"/>
      <c r="IW197" s="15"/>
      <c r="IX197" s="15"/>
      <c r="IY197" s="15"/>
      <c r="IZ197" s="15"/>
      <c r="JA197" s="15"/>
      <c r="JB197" s="15"/>
      <c r="JC197" s="15"/>
      <c r="JD197" s="15"/>
      <c r="JE197" s="15"/>
      <c r="JF197" s="15"/>
      <c r="JG197" s="15"/>
      <c r="JH197" s="15"/>
      <c r="JI197" s="15"/>
      <c r="JJ197" s="15"/>
      <c r="JK197" s="15"/>
      <c r="JL197" s="15"/>
      <c r="JM197" s="15"/>
      <c r="JN197" s="15"/>
      <c r="JO197" s="15"/>
      <c r="JP197" s="15"/>
      <c r="JQ197" s="15"/>
      <c r="JR197" s="15"/>
      <c r="JS197" s="15"/>
      <c r="JT197" s="15"/>
      <c r="JU197" s="15"/>
      <c r="JV197" s="15"/>
      <c r="JW197" s="15"/>
      <c r="JX197" s="15"/>
      <c r="JY197" s="15"/>
      <c r="JZ197" s="15"/>
      <c r="KA197" s="15"/>
      <c r="KB197" s="15"/>
      <c r="KC197" s="15"/>
      <c r="KD197" s="15"/>
      <c r="KE197" s="15"/>
      <c r="KF197" s="15"/>
      <c r="KG197" s="15"/>
      <c r="KH197" s="15"/>
      <c r="KI197" s="15"/>
      <c r="KJ197" s="15"/>
      <c r="KK197" s="15"/>
      <c r="KL197" s="15"/>
      <c r="KM197" s="15"/>
      <c r="KN197" s="15"/>
      <c r="KO197" s="15"/>
      <c r="KP197" s="15"/>
      <c r="KQ197" s="15"/>
      <c r="KR197" s="15"/>
      <c r="KS197" s="15"/>
      <c r="KT197" s="15"/>
      <c r="KU197" s="15"/>
      <c r="KV197" s="15"/>
      <c r="KW197" s="15"/>
      <c r="KX197" s="15"/>
      <c r="KY197" s="15"/>
      <c r="KZ197" s="15"/>
      <c r="LA197" s="15"/>
      <c r="LB197" s="15"/>
      <c r="LC197" s="15"/>
      <c r="LD197" s="15"/>
      <c r="LE197" s="15"/>
      <c r="LF197" s="15"/>
      <c r="LG197" s="15"/>
      <c r="LH197" s="15"/>
      <c r="LI197" s="15"/>
      <c r="LJ197" s="15"/>
      <c r="LK197" s="15"/>
      <c r="LL197" s="15"/>
      <c r="LM197" s="15"/>
      <c r="LN197" s="15"/>
      <c r="LO197" s="15"/>
      <c r="LP197" s="15"/>
      <c r="LQ197" s="15"/>
      <c r="LR197" s="15"/>
      <c r="LS197" s="15"/>
      <c r="LT197" s="15"/>
      <c r="LU197" s="15"/>
      <c r="LV197" s="15"/>
      <c r="NW197" s="15"/>
      <c r="NX197" s="15"/>
    </row>
    <row r="198" spans="4:388">
      <c r="D198" s="15"/>
      <c r="E198" s="15"/>
      <c r="F198" s="15"/>
      <c r="G198" s="74"/>
      <c r="CE198" s="647"/>
      <c r="CF198" s="647"/>
      <c r="CG198" s="647"/>
      <c r="CH198" s="647"/>
      <c r="CI198" s="647"/>
      <c r="CJ198" s="647"/>
      <c r="CK198" s="647"/>
      <c r="CL198" s="647"/>
      <c r="CM198" s="647"/>
      <c r="CN198" s="647"/>
      <c r="CO198" s="647"/>
      <c r="CP198" s="283"/>
      <c r="EG198" s="15"/>
      <c r="EH198" s="15"/>
      <c r="EI198" s="15"/>
      <c r="EJ198" s="15"/>
      <c r="EK198" s="15"/>
      <c r="EL198" s="15"/>
      <c r="EM198" s="15"/>
      <c r="EN198" s="15"/>
      <c r="EO198" s="15"/>
      <c r="EP198" s="15"/>
      <c r="EQ198" s="15"/>
      <c r="ER198" s="15"/>
      <c r="ES198" s="15"/>
      <c r="ET198" s="15"/>
      <c r="EU198" s="15"/>
      <c r="EV198" s="15"/>
      <c r="EW198" s="15"/>
      <c r="EX198" s="15"/>
      <c r="FA198" s="15"/>
      <c r="FB198" s="15"/>
      <c r="FC198" s="15"/>
      <c r="FD198" s="15"/>
      <c r="FE198" s="15"/>
      <c r="FF198" s="15"/>
      <c r="FG198" s="15"/>
      <c r="FH198" s="15"/>
      <c r="FI198" s="15"/>
      <c r="FJ198" s="15"/>
      <c r="FK198" s="15"/>
      <c r="FL198" s="15"/>
      <c r="FM198" s="15"/>
      <c r="FN198" s="15"/>
      <c r="FO198" s="15"/>
      <c r="FP198" s="15"/>
      <c r="FQ198" s="15"/>
      <c r="FR198" s="15"/>
      <c r="FS198" s="15"/>
      <c r="FT198" s="15"/>
      <c r="FU198" s="15"/>
      <c r="FV198" s="15"/>
      <c r="FW198" s="15"/>
      <c r="FX198" s="15"/>
      <c r="FY198" s="15"/>
      <c r="FZ198" s="15"/>
      <c r="GA198" s="15"/>
      <c r="GB198" s="15"/>
      <c r="GC198" s="15"/>
      <c r="GD198" s="15"/>
      <c r="GE198" s="15"/>
      <c r="GF198" s="15"/>
      <c r="GG198" s="15"/>
      <c r="GH198" s="15"/>
      <c r="GI198" s="15"/>
      <c r="GJ198" s="15"/>
      <c r="GK198" s="15"/>
      <c r="GL198" s="15"/>
      <c r="GM198" s="15"/>
      <c r="GN198" s="15"/>
      <c r="GO198" s="15"/>
      <c r="GP198" s="15"/>
      <c r="GQ198" s="15"/>
      <c r="GR198" s="15"/>
      <c r="GS198" s="15"/>
      <c r="GT198" s="15"/>
      <c r="GU198" s="15"/>
      <c r="GV198" s="15"/>
      <c r="GW198" s="15"/>
      <c r="GX198" s="15"/>
      <c r="GY198" s="15"/>
      <c r="GZ198" s="15"/>
      <c r="HA198" s="15"/>
      <c r="HB198" s="15"/>
      <c r="HC198" s="15"/>
      <c r="HD198" s="15"/>
      <c r="HE198" s="15"/>
      <c r="HF198" s="15"/>
      <c r="HG198" s="15"/>
      <c r="HH198" s="15"/>
      <c r="HI198" s="15"/>
      <c r="HJ198" s="15"/>
      <c r="HK198" s="15"/>
      <c r="HL198" s="15"/>
      <c r="HM198" s="15"/>
      <c r="HN198" s="15"/>
      <c r="HO198" s="15"/>
      <c r="HP198" s="15"/>
      <c r="HQ198" s="15"/>
      <c r="HR198" s="15"/>
      <c r="HS198" s="15"/>
      <c r="HT198" s="15"/>
      <c r="HU198" s="15"/>
      <c r="HV198" s="15"/>
      <c r="HW198" s="15"/>
      <c r="HX198" s="15"/>
      <c r="HY198" s="15"/>
      <c r="HZ198" s="15"/>
      <c r="IA198" s="15"/>
      <c r="IB198" s="15"/>
      <c r="IC198" s="15"/>
      <c r="ID198" s="15"/>
      <c r="IE198" s="15"/>
      <c r="IF198" s="15"/>
      <c r="IG198" s="15"/>
      <c r="IH198" s="15"/>
      <c r="II198" s="15"/>
      <c r="IJ198" s="15"/>
      <c r="IK198" s="15"/>
      <c r="IL198" s="15"/>
      <c r="IM198" s="15"/>
      <c r="IN198" s="15"/>
      <c r="IO198" s="15"/>
      <c r="IP198" s="15"/>
      <c r="IQ198" s="15"/>
      <c r="IR198" s="15"/>
      <c r="IS198" s="15"/>
      <c r="IT198" s="15"/>
      <c r="IU198" s="15"/>
      <c r="IV198" s="15"/>
      <c r="IW198" s="15"/>
      <c r="IX198" s="15"/>
      <c r="IY198" s="15"/>
      <c r="IZ198" s="15"/>
      <c r="JA198" s="15"/>
      <c r="JB198" s="15"/>
      <c r="JC198" s="15"/>
      <c r="JD198" s="15"/>
      <c r="JE198" s="15"/>
      <c r="JF198" s="15"/>
      <c r="JG198" s="15"/>
      <c r="JH198" s="15"/>
      <c r="JI198" s="15"/>
      <c r="JJ198" s="15"/>
      <c r="JK198" s="15"/>
      <c r="JL198" s="15"/>
      <c r="JM198" s="15"/>
      <c r="JN198" s="15"/>
      <c r="JO198" s="15"/>
      <c r="JP198" s="15"/>
      <c r="JQ198" s="15"/>
      <c r="JR198" s="15"/>
      <c r="JS198" s="15"/>
      <c r="JT198" s="15"/>
      <c r="JU198" s="15"/>
      <c r="JV198" s="15"/>
      <c r="JW198" s="15"/>
      <c r="JX198" s="15"/>
      <c r="JY198" s="15"/>
      <c r="JZ198" s="15"/>
      <c r="KA198" s="15"/>
      <c r="KB198" s="15"/>
      <c r="KC198" s="15"/>
      <c r="KD198" s="15"/>
      <c r="KE198" s="15"/>
      <c r="KF198" s="15"/>
      <c r="KG198" s="15"/>
      <c r="KH198" s="15"/>
      <c r="KI198" s="15"/>
      <c r="KJ198" s="15"/>
      <c r="KK198" s="15"/>
      <c r="KL198" s="15"/>
      <c r="KM198" s="15"/>
      <c r="KN198" s="15"/>
      <c r="KO198" s="15"/>
      <c r="KP198" s="15"/>
      <c r="KQ198" s="15"/>
      <c r="KR198" s="15"/>
      <c r="KS198" s="15"/>
      <c r="KT198" s="15"/>
      <c r="KU198" s="15"/>
      <c r="KV198" s="15"/>
      <c r="KW198" s="15"/>
      <c r="KX198" s="15"/>
      <c r="KY198" s="15"/>
      <c r="KZ198" s="15"/>
      <c r="LA198" s="15"/>
      <c r="LB198" s="15"/>
      <c r="LC198" s="15"/>
      <c r="LD198" s="15"/>
      <c r="LE198" s="15"/>
      <c r="LF198" s="15"/>
      <c r="LG198" s="15"/>
      <c r="LH198" s="15"/>
      <c r="LI198" s="15"/>
      <c r="LJ198" s="15"/>
      <c r="LK198" s="15"/>
      <c r="LL198" s="15"/>
      <c r="LM198" s="15"/>
      <c r="LN198" s="15"/>
      <c r="LO198" s="15"/>
      <c r="LP198" s="15"/>
      <c r="LQ198" s="15"/>
      <c r="LR198" s="15"/>
      <c r="LS198" s="15"/>
      <c r="LT198" s="15"/>
      <c r="LU198" s="15"/>
      <c r="LV198" s="15"/>
      <c r="NW198" s="15"/>
      <c r="NX198" s="15"/>
    </row>
    <row r="199" spans="4:388">
      <c r="D199" s="15"/>
      <c r="E199" s="15"/>
      <c r="F199" s="15"/>
      <c r="G199" s="74"/>
      <c r="CE199" s="647"/>
      <c r="CF199" s="647"/>
      <c r="CG199" s="647"/>
      <c r="CH199" s="647"/>
      <c r="CI199" s="647"/>
      <c r="CJ199" s="647"/>
      <c r="CK199" s="647"/>
      <c r="CL199" s="647"/>
      <c r="CM199" s="647"/>
      <c r="CN199" s="647"/>
      <c r="CO199" s="647"/>
      <c r="CP199" s="283"/>
      <c r="EG199" s="15"/>
      <c r="EH199" s="15"/>
      <c r="EI199" s="15"/>
      <c r="EJ199" s="15"/>
      <c r="EK199" s="15"/>
      <c r="EL199" s="15"/>
      <c r="EM199" s="15"/>
      <c r="EN199" s="15"/>
      <c r="EO199" s="15"/>
      <c r="EP199" s="15"/>
      <c r="EQ199" s="15"/>
      <c r="ER199" s="15"/>
      <c r="ES199" s="15"/>
      <c r="ET199" s="15"/>
      <c r="EU199" s="15"/>
      <c r="EV199" s="15"/>
      <c r="EW199" s="15"/>
      <c r="EX199" s="15"/>
      <c r="FA199" s="15"/>
      <c r="FB199" s="15"/>
      <c r="FC199" s="15"/>
      <c r="FD199" s="15"/>
      <c r="FE199" s="15"/>
      <c r="FF199" s="15"/>
      <c r="FG199" s="15"/>
      <c r="FH199" s="15"/>
      <c r="FI199" s="15"/>
      <c r="FJ199" s="15"/>
      <c r="FK199" s="15"/>
      <c r="FL199" s="15"/>
      <c r="FM199" s="15"/>
      <c r="FN199" s="15"/>
      <c r="FO199" s="15"/>
      <c r="FP199" s="15"/>
      <c r="FQ199" s="15"/>
      <c r="FR199" s="15"/>
      <c r="FS199" s="15"/>
      <c r="FT199" s="15"/>
      <c r="FU199" s="15"/>
      <c r="FV199" s="15"/>
      <c r="FW199" s="15"/>
      <c r="FX199" s="15"/>
      <c r="FY199" s="15"/>
      <c r="FZ199" s="15"/>
      <c r="GA199" s="15"/>
      <c r="GB199" s="15"/>
      <c r="GC199" s="15"/>
      <c r="GD199" s="15"/>
      <c r="GE199" s="15"/>
      <c r="GF199" s="15"/>
      <c r="GG199" s="15"/>
      <c r="GH199" s="15"/>
      <c r="GI199" s="15"/>
      <c r="GJ199" s="15"/>
      <c r="GK199" s="15"/>
      <c r="GL199" s="15"/>
      <c r="GM199" s="15"/>
      <c r="GN199" s="15"/>
      <c r="GO199" s="15"/>
      <c r="GP199" s="15"/>
      <c r="GQ199" s="15"/>
      <c r="GR199" s="15"/>
      <c r="GS199" s="15"/>
      <c r="GT199" s="15"/>
      <c r="GU199" s="15"/>
      <c r="GV199" s="15"/>
      <c r="GW199" s="15"/>
      <c r="GX199" s="15"/>
      <c r="GY199" s="15"/>
      <c r="GZ199" s="15"/>
      <c r="HA199" s="15"/>
      <c r="HB199" s="15"/>
      <c r="HC199" s="15"/>
      <c r="HD199" s="15"/>
      <c r="HE199" s="15"/>
      <c r="HF199" s="15"/>
      <c r="HG199" s="15"/>
      <c r="HH199" s="15"/>
      <c r="HI199" s="15"/>
      <c r="HJ199" s="15"/>
      <c r="HK199" s="15"/>
      <c r="HL199" s="15"/>
      <c r="HM199" s="15"/>
      <c r="HN199" s="15"/>
      <c r="HO199" s="15"/>
      <c r="HP199" s="15"/>
      <c r="HQ199" s="15"/>
      <c r="HR199" s="15"/>
      <c r="HS199" s="15"/>
      <c r="HT199" s="15"/>
      <c r="HU199" s="15"/>
      <c r="HV199" s="15"/>
      <c r="HW199" s="15"/>
      <c r="HX199" s="15"/>
      <c r="HY199" s="15"/>
      <c r="HZ199" s="15"/>
      <c r="IA199" s="15"/>
      <c r="IB199" s="15"/>
      <c r="IC199" s="15"/>
      <c r="ID199" s="15"/>
      <c r="IE199" s="15"/>
      <c r="IF199" s="15"/>
      <c r="IG199" s="15"/>
      <c r="IH199" s="15"/>
      <c r="II199" s="15"/>
      <c r="IJ199" s="15"/>
      <c r="IK199" s="15"/>
      <c r="IL199" s="15"/>
      <c r="IM199" s="15"/>
      <c r="IN199" s="15"/>
      <c r="IO199" s="15"/>
      <c r="IP199" s="15"/>
      <c r="IQ199" s="15"/>
      <c r="IR199" s="15"/>
      <c r="IS199" s="15"/>
      <c r="IT199" s="15"/>
      <c r="IU199" s="15"/>
      <c r="IV199" s="15"/>
      <c r="IW199" s="15"/>
      <c r="IX199" s="15"/>
      <c r="IY199" s="15"/>
      <c r="IZ199" s="15"/>
      <c r="JA199" s="15"/>
      <c r="JB199" s="15"/>
      <c r="JC199" s="15"/>
      <c r="JD199" s="15"/>
      <c r="JE199" s="15"/>
      <c r="JF199" s="15"/>
      <c r="JG199" s="15"/>
      <c r="JH199" s="15"/>
      <c r="JI199" s="15"/>
      <c r="JJ199" s="15"/>
      <c r="JK199" s="15"/>
      <c r="JL199" s="15"/>
      <c r="JM199" s="15"/>
      <c r="JN199" s="15"/>
      <c r="JO199" s="15"/>
      <c r="JP199" s="15"/>
      <c r="JQ199" s="15"/>
      <c r="JR199" s="15"/>
      <c r="JS199" s="15"/>
      <c r="JT199" s="15"/>
      <c r="JU199" s="15"/>
      <c r="JV199" s="15"/>
      <c r="JW199" s="15"/>
      <c r="JX199" s="15"/>
      <c r="JY199" s="15"/>
      <c r="JZ199" s="15"/>
      <c r="KA199" s="15"/>
      <c r="KB199" s="15"/>
      <c r="KC199" s="15"/>
      <c r="KD199" s="15"/>
      <c r="KE199" s="15"/>
      <c r="KF199" s="15"/>
      <c r="KG199" s="15"/>
      <c r="KH199" s="15"/>
      <c r="KI199" s="15"/>
      <c r="KJ199" s="15"/>
      <c r="KK199" s="15"/>
      <c r="KL199" s="15"/>
      <c r="KM199" s="15"/>
      <c r="KN199" s="15"/>
      <c r="KO199" s="15"/>
      <c r="KP199" s="15"/>
      <c r="KQ199" s="15"/>
      <c r="KR199" s="15"/>
      <c r="KS199" s="15"/>
      <c r="KT199" s="15"/>
      <c r="KU199" s="15"/>
      <c r="KV199" s="15"/>
      <c r="KW199" s="15"/>
      <c r="KX199" s="15"/>
      <c r="KY199" s="15"/>
      <c r="KZ199" s="15"/>
      <c r="LA199" s="15"/>
      <c r="LB199" s="15"/>
      <c r="LC199" s="15"/>
      <c r="LD199" s="15"/>
      <c r="LE199" s="15"/>
      <c r="LF199" s="15"/>
      <c r="LG199" s="15"/>
      <c r="LH199" s="15"/>
      <c r="LI199" s="15"/>
      <c r="LJ199" s="15"/>
      <c r="LK199" s="15"/>
      <c r="LL199" s="15"/>
      <c r="LM199" s="15"/>
      <c r="LN199" s="15"/>
      <c r="LO199" s="15"/>
      <c r="LP199" s="15"/>
      <c r="LQ199" s="15"/>
      <c r="LR199" s="15"/>
      <c r="LS199" s="15"/>
      <c r="LT199" s="15"/>
      <c r="LU199" s="15"/>
      <c r="LV199" s="15"/>
      <c r="NW199" s="15"/>
      <c r="NX199" s="15"/>
    </row>
    <row r="200" spans="4:388">
      <c r="D200" s="15"/>
      <c r="E200" s="15"/>
      <c r="F200" s="15"/>
      <c r="G200" s="74"/>
      <c r="CE200" s="647"/>
      <c r="CF200" s="647"/>
      <c r="CG200" s="647"/>
      <c r="CH200" s="647"/>
      <c r="CI200" s="647"/>
      <c r="CJ200" s="647"/>
      <c r="CK200" s="647"/>
      <c r="CL200" s="647"/>
      <c r="CM200" s="647"/>
      <c r="CN200" s="647"/>
      <c r="CO200" s="647"/>
      <c r="CP200" s="283"/>
      <c r="EG200" s="15"/>
      <c r="EH200" s="15"/>
      <c r="EI200" s="15"/>
      <c r="EJ200" s="15"/>
      <c r="EK200" s="15"/>
      <c r="EL200" s="15"/>
      <c r="EM200" s="15"/>
      <c r="EN200" s="15"/>
      <c r="EO200" s="15"/>
      <c r="EP200" s="15"/>
      <c r="EQ200" s="15"/>
      <c r="ER200" s="15"/>
      <c r="ES200" s="15"/>
      <c r="ET200" s="15"/>
      <c r="EU200" s="15"/>
      <c r="EV200" s="15"/>
      <c r="EW200" s="15"/>
      <c r="EX200" s="15"/>
      <c r="FA200" s="15"/>
      <c r="FB200" s="15"/>
      <c r="FC200" s="15"/>
      <c r="FD200" s="15"/>
      <c r="FE200" s="15"/>
      <c r="FF200" s="15"/>
      <c r="FG200" s="15"/>
      <c r="FH200" s="15"/>
      <c r="FI200" s="15"/>
      <c r="FJ200" s="15"/>
      <c r="FK200" s="15"/>
      <c r="FL200" s="15"/>
      <c r="FM200" s="15"/>
      <c r="FN200" s="15"/>
      <c r="FO200" s="15"/>
      <c r="FP200" s="15"/>
      <c r="FQ200" s="15"/>
      <c r="FR200" s="15"/>
      <c r="FS200" s="15"/>
      <c r="FT200" s="15"/>
      <c r="FU200" s="15"/>
      <c r="FV200" s="15"/>
      <c r="FW200" s="15"/>
      <c r="FX200" s="15"/>
      <c r="FY200" s="15"/>
      <c r="FZ200" s="15"/>
      <c r="GA200" s="15"/>
      <c r="GB200" s="15"/>
      <c r="GC200" s="15"/>
      <c r="GD200" s="15"/>
      <c r="GE200" s="15"/>
      <c r="GF200" s="15"/>
      <c r="GG200" s="15"/>
      <c r="GH200" s="15"/>
      <c r="GI200" s="15"/>
      <c r="GJ200" s="15"/>
      <c r="GK200" s="15"/>
      <c r="GL200" s="15"/>
      <c r="GM200" s="15"/>
      <c r="GN200" s="15"/>
      <c r="GO200" s="15"/>
      <c r="GP200" s="15"/>
      <c r="GQ200" s="15"/>
      <c r="GR200" s="15"/>
      <c r="GS200" s="15"/>
      <c r="GT200" s="15"/>
      <c r="GU200" s="15"/>
      <c r="GV200" s="15"/>
      <c r="GW200" s="15"/>
      <c r="GX200" s="15"/>
      <c r="GY200" s="15"/>
      <c r="GZ200" s="15"/>
      <c r="HA200" s="15"/>
      <c r="HB200" s="15"/>
      <c r="HC200" s="15"/>
      <c r="HD200" s="15"/>
      <c r="HE200" s="15"/>
      <c r="HF200" s="15"/>
      <c r="HG200" s="15"/>
      <c r="HH200" s="15"/>
      <c r="HI200" s="15"/>
      <c r="HJ200" s="15"/>
      <c r="HK200" s="15"/>
      <c r="HL200" s="15"/>
      <c r="HM200" s="15"/>
      <c r="HN200" s="15"/>
      <c r="HO200" s="15"/>
      <c r="HP200" s="15"/>
      <c r="HQ200" s="15"/>
      <c r="HR200" s="15"/>
      <c r="HS200" s="15"/>
      <c r="HT200" s="15"/>
      <c r="HU200" s="15"/>
      <c r="HV200" s="15"/>
      <c r="HW200" s="15"/>
      <c r="HX200" s="15"/>
      <c r="HY200" s="15"/>
      <c r="HZ200" s="15"/>
      <c r="IA200" s="15"/>
      <c r="IB200" s="15"/>
      <c r="IC200" s="15"/>
      <c r="ID200" s="15"/>
      <c r="IE200" s="15"/>
      <c r="IF200" s="15"/>
      <c r="IG200" s="15"/>
      <c r="IH200" s="15"/>
      <c r="II200" s="15"/>
      <c r="IJ200" s="15"/>
      <c r="IK200" s="15"/>
      <c r="IL200" s="15"/>
      <c r="IM200" s="15"/>
      <c r="IN200" s="15"/>
      <c r="IO200" s="15"/>
      <c r="IP200" s="15"/>
      <c r="IQ200" s="15"/>
      <c r="IR200" s="15"/>
      <c r="IS200" s="15"/>
      <c r="IT200" s="15"/>
      <c r="IU200" s="15"/>
      <c r="IV200" s="15"/>
      <c r="IW200" s="15"/>
      <c r="IX200" s="15"/>
      <c r="IY200" s="15"/>
      <c r="IZ200" s="15"/>
      <c r="JA200" s="15"/>
      <c r="JB200" s="15"/>
      <c r="JC200" s="15"/>
      <c r="JD200" s="15"/>
      <c r="JE200" s="15"/>
      <c r="JF200" s="15"/>
      <c r="JG200" s="15"/>
      <c r="JH200" s="15"/>
      <c r="JI200" s="15"/>
      <c r="JJ200" s="15"/>
      <c r="JK200" s="15"/>
      <c r="JL200" s="15"/>
      <c r="JM200" s="15"/>
      <c r="JN200" s="15"/>
      <c r="JO200" s="15"/>
      <c r="JP200" s="15"/>
      <c r="JQ200" s="15"/>
      <c r="JR200" s="15"/>
      <c r="JS200" s="15"/>
      <c r="JT200" s="15"/>
      <c r="JU200" s="15"/>
      <c r="JV200" s="15"/>
      <c r="JW200" s="15"/>
      <c r="JX200" s="15"/>
      <c r="JY200" s="15"/>
      <c r="JZ200" s="15"/>
      <c r="KA200" s="15"/>
      <c r="KB200" s="15"/>
      <c r="KC200" s="15"/>
      <c r="KD200" s="15"/>
      <c r="KE200" s="15"/>
      <c r="KF200" s="15"/>
      <c r="KG200" s="15"/>
      <c r="KH200" s="15"/>
      <c r="KI200" s="15"/>
      <c r="KJ200" s="15"/>
      <c r="KK200" s="15"/>
      <c r="KL200" s="15"/>
      <c r="KM200" s="15"/>
      <c r="KN200" s="15"/>
      <c r="KO200" s="15"/>
      <c r="KP200" s="15"/>
      <c r="KQ200" s="15"/>
      <c r="KR200" s="15"/>
      <c r="KS200" s="15"/>
      <c r="KT200" s="15"/>
      <c r="KU200" s="15"/>
      <c r="KV200" s="15"/>
      <c r="KW200" s="15"/>
      <c r="KX200" s="15"/>
      <c r="KY200" s="15"/>
      <c r="KZ200" s="15"/>
      <c r="LA200" s="15"/>
      <c r="LB200" s="15"/>
      <c r="LC200" s="15"/>
      <c r="LD200" s="15"/>
      <c r="LE200" s="15"/>
      <c r="LF200" s="15"/>
      <c r="LG200" s="15"/>
      <c r="LH200" s="15"/>
      <c r="LI200" s="15"/>
      <c r="LJ200" s="15"/>
      <c r="LK200" s="15"/>
      <c r="LL200" s="15"/>
      <c r="LM200" s="15"/>
      <c r="LN200" s="15"/>
      <c r="LO200" s="15"/>
      <c r="LP200" s="15"/>
      <c r="LQ200" s="15"/>
      <c r="LR200" s="15"/>
      <c r="LS200" s="15"/>
      <c r="LT200" s="15"/>
      <c r="LU200" s="15"/>
      <c r="LV200" s="15"/>
      <c r="NW200" s="15"/>
      <c r="NX200" s="15"/>
    </row>
    <row r="201" spans="4:388">
      <c r="D201" s="15"/>
      <c r="E201" s="15"/>
      <c r="F201" s="15"/>
      <c r="G201" s="67"/>
      <c r="CE201" s="647"/>
      <c r="CF201" s="647"/>
      <c r="CG201" s="647"/>
      <c r="CH201" s="647"/>
      <c r="CI201" s="647"/>
      <c r="CJ201" s="647"/>
      <c r="CK201" s="647"/>
      <c r="CL201" s="647"/>
      <c r="CM201" s="647"/>
      <c r="CN201" s="647"/>
      <c r="CO201" s="647"/>
      <c r="EG201" s="15"/>
      <c r="EH201" s="15"/>
      <c r="EI201" s="15"/>
      <c r="EJ201" s="15"/>
      <c r="EK201" s="15"/>
      <c r="EL201" s="15"/>
      <c r="EM201" s="15"/>
      <c r="EN201" s="15"/>
      <c r="EO201" s="15"/>
      <c r="EP201" s="15"/>
      <c r="EQ201" s="15"/>
      <c r="ER201" s="15"/>
      <c r="ES201" s="15"/>
      <c r="ET201" s="15"/>
      <c r="EU201" s="15"/>
      <c r="EV201" s="15"/>
      <c r="EW201" s="15"/>
      <c r="EX201" s="15"/>
      <c r="FA201" s="15"/>
      <c r="FB201" s="15"/>
      <c r="FC201" s="15"/>
      <c r="FD201" s="15"/>
      <c r="FE201" s="15"/>
      <c r="FF201" s="15"/>
      <c r="FG201" s="15"/>
      <c r="FH201" s="15"/>
      <c r="FI201" s="15"/>
      <c r="FJ201" s="15"/>
      <c r="FK201" s="15"/>
      <c r="FL201" s="15"/>
      <c r="FM201" s="15"/>
      <c r="FN201" s="15"/>
      <c r="FO201" s="15"/>
      <c r="FP201" s="15"/>
      <c r="FQ201" s="15"/>
      <c r="FR201" s="15"/>
      <c r="FS201" s="15"/>
      <c r="FT201" s="15"/>
      <c r="FU201" s="15"/>
      <c r="FV201" s="15"/>
      <c r="FW201" s="15"/>
      <c r="FX201" s="15"/>
      <c r="FY201" s="15"/>
      <c r="FZ201" s="15"/>
      <c r="GA201" s="15"/>
      <c r="GB201" s="15"/>
      <c r="GC201" s="15"/>
      <c r="GD201" s="15"/>
      <c r="GE201" s="15"/>
      <c r="GF201" s="15"/>
      <c r="GG201" s="15"/>
      <c r="GH201" s="15"/>
      <c r="GI201" s="15"/>
      <c r="GJ201" s="15"/>
      <c r="GK201" s="15"/>
      <c r="GL201" s="15"/>
      <c r="GM201" s="15"/>
      <c r="GN201" s="15"/>
      <c r="GO201" s="15"/>
      <c r="GP201" s="15"/>
      <c r="GQ201" s="15"/>
      <c r="GR201" s="15"/>
      <c r="GS201" s="15"/>
      <c r="GT201" s="15"/>
      <c r="GU201" s="15"/>
      <c r="GV201" s="15"/>
      <c r="GW201" s="15"/>
      <c r="GX201" s="15"/>
      <c r="GY201" s="15"/>
      <c r="GZ201" s="15"/>
      <c r="HA201" s="15"/>
      <c r="HB201" s="15"/>
      <c r="HC201" s="15"/>
      <c r="HD201" s="15"/>
      <c r="HE201" s="15"/>
      <c r="HF201" s="15"/>
      <c r="HG201" s="15"/>
      <c r="HH201" s="15"/>
      <c r="HI201" s="15"/>
      <c r="HJ201" s="15"/>
      <c r="HK201" s="15"/>
      <c r="HL201" s="15"/>
      <c r="HM201" s="15"/>
      <c r="HN201" s="15"/>
      <c r="HO201" s="15"/>
      <c r="HP201" s="15"/>
      <c r="HQ201" s="15"/>
      <c r="HR201" s="15"/>
      <c r="HS201" s="15"/>
      <c r="HT201" s="15"/>
      <c r="HU201" s="15"/>
      <c r="HV201" s="15"/>
      <c r="HW201" s="15"/>
      <c r="HX201" s="15"/>
      <c r="HY201" s="15"/>
      <c r="HZ201" s="15"/>
      <c r="IA201" s="15"/>
      <c r="IB201" s="15"/>
      <c r="IC201" s="15"/>
      <c r="ID201" s="15"/>
      <c r="IE201" s="15"/>
      <c r="IF201" s="15"/>
      <c r="IG201" s="15"/>
      <c r="IH201" s="15"/>
      <c r="II201" s="15"/>
      <c r="IJ201" s="15"/>
      <c r="IK201" s="15"/>
      <c r="IL201" s="15"/>
      <c r="IM201" s="15"/>
      <c r="IN201" s="15"/>
      <c r="IO201" s="15"/>
      <c r="IP201" s="15"/>
      <c r="IQ201" s="15"/>
      <c r="IR201" s="15"/>
      <c r="IS201" s="15"/>
      <c r="IT201" s="15"/>
      <c r="IU201" s="15"/>
      <c r="IV201" s="15"/>
      <c r="IW201" s="15"/>
      <c r="IX201" s="15"/>
      <c r="IY201" s="15"/>
      <c r="IZ201" s="15"/>
      <c r="JA201" s="15"/>
      <c r="JB201" s="15"/>
      <c r="JC201" s="15"/>
      <c r="JD201" s="15"/>
      <c r="JE201" s="15"/>
      <c r="JF201" s="15"/>
      <c r="JG201" s="15"/>
      <c r="JH201" s="15"/>
      <c r="JI201" s="15"/>
      <c r="JJ201" s="15"/>
      <c r="JK201" s="15"/>
      <c r="JL201" s="15"/>
      <c r="JM201" s="15"/>
      <c r="JN201" s="15"/>
      <c r="JO201" s="15"/>
      <c r="JP201" s="15"/>
      <c r="JQ201" s="15"/>
      <c r="JR201" s="15"/>
      <c r="JS201" s="15"/>
      <c r="JT201" s="15"/>
      <c r="JU201" s="15"/>
      <c r="JV201" s="15"/>
      <c r="JW201" s="15"/>
      <c r="JX201" s="15"/>
      <c r="JY201" s="15"/>
      <c r="JZ201" s="15"/>
      <c r="KA201" s="15"/>
      <c r="KB201" s="15"/>
      <c r="KC201" s="15"/>
      <c r="KD201" s="15"/>
      <c r="KE201" s="15"/>
      <c r="KF201" s="15"/>
      <c r="KG201" s="15"/>
      <c r="KH201" s="15"/>
      <c r="KI201" s="15"/>
      <c r="KJ201" s="15"/>
      <c r="KK201" s="15"/>
      <c r="KL201" s="15"/>
      <c r="KM201" s="15"/>
      <c r="KN201" s="15"/>
      <c r="KO201" s="15"/>
      <c r="KP201" s="15"/>
      <c r="KQ201" s="15"/>
      <c r="KR201" s="15"/>
      <c r="KS201" s="15"/>
      <c r="KT201" s="15"/>
      <c r="KU201" s="15"/>
      <c r="KV201" s="15"/>
      <c r="KW201" s="15"/>
      <c r="KX201" s="15"/>
      <c r="KY201" s="15"/>
      <c r="KZ201" s="15"/>
      <c r="LA201" s="15"/>
      <c r="LB201" s="15"/>
      <c r="LC201" s="15"/>
      <c r="LD201" s="15"/>
      <c r="LE201" s="15"/>
      <c r="LF201" s="15"/>
      <c r="LG201" s="15"/>
      <c r="LH201" s="15"/>
      <c r="LI201" s="15"/>
      <c r="LJ201" s="15"/>
      <c r="LK201" s="15"/>
      <c r="LL201" s="15"/>
      <c r="LM201" s="15"/>
      <c r="LN201" s="15"/>
      <c r="LO201" s="15"/>
      <c r="LP201" s="15"/>
      <c r="LQ201" s="15"/>
      <c r="LR201" s="15"/>
      <c r="LS201" s="15"/>
      <c r="LT201" s="15"/>
      <c r="LU201" s="15"/>
      <c r="LV201" s="15"/>
      <c r="NW201" s="15"/>
      <c r="NX201" s="15"/>
    </row>
    <row r="202" spans="4:388">
      <c r="D202" s="15"/>
      <c r="E202" s="15"/>
      <c r="F202" s="15"/>
      <c r="G202" s="74"/>
      <c r="CE202" s="647"/>
      <c r="CF202" s="647"/>
      <c r="CG202" s="647"/>
      <c r="CH202" s="647"/>
      <c r="CI202" s="647"/>
      <c r="CJ202" s="647"/>
      <c r="CK202" s="647"/>
      <c r="CL202" s="647"/>
      <c r="CM202" s="647"/>
      <c r="CN202" s="647"/>
      <c r="CO202" s="647"/>
      <c r="EG202" s="15"/>
      <c r="EH202" s="15"/>
      <c r="EI202" s="15"/>
      <c r="EJ202" s="15"/>
      <c r="EK202" s="15"/>
      <c r="EL202" s="15"/>
      <c r="EM202" s="15"/>
      <c r="EN202" s="15"/>
      <c r="EO202" s="15"/>
      <c r="EP202" s="15"/>
      <c r="EQ202" s="15"/>
      <c r="ER202" s="15"/>
      <c r="ES202" s="15"/>
      <c r="ET202" s="15"/>
      <c r="EU202" s="15"/>
      <c r="EV202" s="15"/>
      <c r="EW202" s="15"/>
      <c r="EX202" s="15"/>
      <c r="FA202" s="15"/>
      <c r="FB202" s="15"/>
      <c r="FC202" s="15"/>
      <c r="FD202" s="15"/>
      <c r="FE202" s="15"/>
      <c r="FF202" s="15"/>
      <c r="FG202" s="15"/>
      <c r="FH202" s="15"/>
      <c r="FI202" s="15"/>
      <c r="FJ202" s="15"/>
      <c r="FK202" s="15"/>
      <c r="FL202" s="15"/>
      <c r="FM202" s="15"/>
      <c r="FN202" s="15"/>
      <c r="FO202" s="15"/>
      <c r="FP202" s="15"/>
      <c r="FQ202" s="15"/>
      <c r="FR202" s="15"/>
      <c r="FS202" s="15"/>
      <c r="FT202" s="15"/>
      <c r="FU202" s="15"/>
      <c r="FV202" s="15"/>
      <c r="FW202" s="15"/>
      <c r="FX202" s="15"/>
      <c r="FY202" s="15"/>
      <c r="FZ202" s="15"/>
      <c r="GA202" s="15"/>
      <c r="GB202" s="15"/>
      <c r="GC202" s="15"/>
      <c r="GD202" s="15"/>
      <c r="GE202" s="15"/>
      <c r="GF202" s="15"/>
      <c r="GG202" s="15"/>
      <c r="GH202" s="15"/>
      <c r="GI202" s="15"/>
      <c r="GJ202" s="15"/>
      <c r="GK202" s="15"/>
      <c r="GL202" s="15"/>
      <c r="GM202" s="15"/>
      <c r="GN202" s="15"/>
      <c r="GO202" s="15"/>
      <c r="GP202" s="15"/>
      <c r="GQ202" s="15"/>
      <c r="GR202" s="15"/>
      <c r="GS202" s="15"/>
      <c r="GT202" s="15"/>
      <c r="GU202" s="15"/>
      <c r="GV202" s="15"/>
      <c r="GW202" s="15"/>
      <c r="GX202" s="15"/>
      <c r="GY202" s="15"/>
      <c r="GZ202" s="15"/>
      <c r="HA202" s="15"/>
      <c r="HB202" s="15"/>
      <c r="HC202" s="15"/>
      <c r="HD202" s="15"/>
      <c r="HE202" s="15"/>
      <c r="HF202" s="15"/>
      <c r="HG202" s="15"/>
      <c r="HH202" s="15"/>
      <c r="HI202" s="15"/>
      <c r="HJ202" s="15"/>
      <c r="HK202" s="15"/>
      <c r="HL202" s="15"/>
      <c r="HM202" s="15"/>
      <c r="HN202" s="15"/>
      <c r="HO202" s="15"/>
      <c r="HP202" s="15"/>
      <c r="HQ202" s="15"/>
      <c r="HR202" s="15"/>
      <c r="HS202" s="15"/>
      <c r="HT202" s="15"/>
      <c r="HU202" s="15"/>
      <c r="HV202" s="15"/>
      <c r="HW202" s="15"/>
      <c r="HX202" s="15"/>
      <c r="HY202" s="15"/>
      <c r="HZ202" s="15"/>
      <c r="IA202" s="15"/>
      <c r="IB202" s="15"/>
      <c r="IC202" s="15"/>
      <c r="ID202" s="15"/>
      <c r="IE202" s="15"/>
      <c r="IF202" s="15"/>
      <c r="IG202" s="15"/>
      <c r="IH202" s="15"/>
      <c r="II202" s="15"/>
      <c r="IJ202" s="15"/>
      <c r="IK202" s="15"/>
      <c r="IL202" s="15"/>
      <c r="IM202" s="15"/>
      <c r="IN202" s="15"/>
      <c r="IO202" s="15"/>
      <c r="IP202" s="15"/>
      <c r="IQ202" s="15"/>
      <c r="IR202" s="15"/>
      <c r="IS202" s="15"/>
      <c r="IT202" s="15"/>
      <c r="IU202" s="15"/>
      <c r="IV202" s="15"/>
      <c r="IW202" s="15"/>
      <c r="IX202" s="15"/>
      <c r="IY202" s="15"/>
      <c r="IZ202" s="15"/>
      <c r="JA202" s="15"/>
      <c r="JB202" s="15"/>
      <c r="JC202" s="15"/>
      <c r="JD202" s="15"/>
      <c r="JE202" s="15"/>
      <c r="JF202" s="15"/>
      <c r="JG202" s="15"/>
      <c r="JH202" s="15"/>
      <c r="JI202" s="15"/>
      <c r="JJ202" s="15"/>
      <c r="JK202" s="15"/>
      <c r="JL202" s="15"/>
      <c r="JM202" s="15"/>
      <c r="JN202" s="15"/>
      <c r="JO202" s="15"/>
      <c r="JP202" s="15"/>
      <c r="JQ202" s="15"/>
      <c r="JR202" s="15"/>
      <c r="JS202" s="15"/>
      <c r="JT202" s="15"/>
      <c r="JU202" s="15"/>
      <c r="JV202" s="15"/>
      <c r="JW202" s="15"/>
      <c r="JX202" s="15"/>
      <c r="JY202" s="15"/>
      <c r="JZ202" s="15"/>
      <c r="KA202" s="15"/>
      <c r="KB202" s="15"/>
      <c r="KC202" s="15"/>
      <c r="KD202" s="15"/>
      <c r="KE202" s="15"/>
      <c r="KF202" s="15"/>
      <c r="KG202" s="15"/>
      <c r="KH202" s="15"/>
      <c r="KI202" s="15"/>
      <c r="KJ202" s="15"/>
      <c r="KK202" s="15"/>
      <c r="KL202" s="15"/>
      <c r="KM202" s="15"/>
      <c r="KN202" s="15"/>
      <c r="KO202" s="15"/>
      <c r="KP202" s="15"/>
      <c r="KQ202" s="15"/>
      <c r="KR202" s="15"/>
      <c r="KS202" s="15"/>
      <c r="KT202" s="15"/>
      <c r="KU202" s="15"/>
      <c r="KV202" s="15"/>
      <c r="KW202" s="15"/>
      <c r="KX202" s="15"/>
      <c r="KY202" s="15"/>
      <c r="KZ202" s="15"/>
      <c r="LA202" s="15"/>
      <c r="LB202" s="15"/>
      <c r="LC202" s="15"/>
      <c r="LD202" s="15"/>
      <c r="LE202" s="15"/>
      <c r="LF202" s="15"/>
      <c r="LG202" s="15"/>
      <c r="LH202" s="15"/>
      <c r="LI202" s="15"/>
      <c r="LJ202" s="15"/>
      <c r="LK202" s="15"/>
      <c r="LL202" s="15"/>
      <c r="LM202" s="15"/>
      <c r="LN202" s="15"/>
      <c r="LO202" s="15"/>
      <c r="LP202" s="15"/>
      <c r="LQ202" s="15"/>
      <c r="LR202" s="15"/>
      <c r="LS202" s="15"/>
      <c r="LT202" s="15"/>
      <c r="LU202" s="15"/>
      <c r="LV202" s="15"/>
      <c r="NW202" s="15"/>
      <c r="NX202" s="15"/>
    </row>
    <row r="203" spans="4:388">
      <c r="D203" s="15"/>
      <c r="E203" s="15"/>
      <c r="F203" s="15"/>
      <c r="G203" s="84"/>
      <c r="CE203" s="647"/>
      <c r="CF203" s="647"/>
      <c r="CG203" s="647"/>
      <c r="CH203" s="647"/>
      <c r="CI203" s="647"/>
      <c r="CJ203" s="647"/>
      <c r="CK203" s="647"/>
      <c r="CL203" s="647"/>
      <c r="CM203" s="647"/>
      <c r="CN203" s="647"/>
      <c r="CO203" s="647"/>
      <c r="EG203" s="15"/>
      <c r="EH203" s="15"/>
      <c r="EI203" s="15"/>
      <c r="EJ203" s="15"/>
      <c r="EK203" s="15"/>
      <c r="EL203" s="15"/>
      <c r="EM203" s="15"/>
      <c r="EN203" s="15"/>
      <c r="EO203" s="15"/>
      <c r="EP203" s="15"/>
      <c r="EQ203" s="15"/>
      <c r="ER203" s="15"/>
      <c r="ES203" s="15"/>
      <c r="ET203" s="15"/>
      <c r="EU203" s="15"/>
      <c r="EV203" s="15"/>
      <c r="EW203" s="15"/>
      <c r="EX203" s="15"/>
      <c r="FA203" s="15"/>
      <c r="FB203" s="15"/>
      <c r="FC203" s="15"/>
      <c r="FD203" s="15"/>
      <c r="FE203" s="15"/>
      <c r="FF203" s="15"/>
      <c r="FG203" s="15"/>
      <c r="FH203" s="15"/>
      <c r="FI203" s="15"/>
      <c r="FJ203" s="15"/>
      <c r="FK203" s="15"/>
      <c r="FL203" s="15"/>
      <c r="FM203" s="15"/>
      <c r="FN203" s="15"/>
      <c r="FO203" s="15"/>
      <c r="FP203" s="15"/>
      <c r="FQ203" s="15"/>
      <c r="FR203" s="15"/>
      <c r="FS203" s="15"/>
      <c r="FT203" s="15"/>
      <c r="FU203" s="15"/>
      <c r="FV203" s="15"/>
      <c r="FW203" s="15"/>
      <c r="FX203" s="15"/>
      <c r="FY203" s="15"/>
      <c r="FZ203" s="15"/>
      <c r="GA203" s="15"/>
      <c r="GB203" s="15"/>
      <c r="GC203" s="15"/>
      <c r="GD203" s="15"/>
      <c r="GE203" s="15"/>
      <c r="GF203" s="15"/>
      <c r="GG203" s="15"/>
      <c r="GH203" s="15"/>
      <c r="GI203" s="15"/>
      <c r="GJ203" s="15"/>
      <c r="GK203" s="15"/>
      <c r="GL203" s="15"/>
      <c r="GM203" s="15"/>
      <c r="GN203" s="15"/>
      <c r="GO203" s="15"/>
      <c r="GP203" s="15"/>
      <c r="GQ203" s="15"/>
      <c r="GR203" s="15"/>
      <c r="GS203" s="15"/>
      <c r="GT203" s="15"/>
      <c r="GU203" s="15"/>
      <c r="GV203" s="15"/>
      <c r="GW203" s="15"/>
      <c r="GX203" s="15"/>
      <c r="GY203" s="15"/>
      <c r="GZ203" s="15"/>
      <c r="HA203" s="15"/>
      <c r="HB203" s="15"/>
      <c r="HC203" s="15"/>
      <c r="HD203" s="15"/>
      <c r="HE203" s="15"/>
      <c r="HF203" s="15"/>
      <c r="HG203" s="15"/>
      <c r="HH203" s="15"/>
      <c r="HI203" s="15"/>
      <c r="HJ203" s="15"/>
      <c r="HK203" s="15"/>
      <c r="HL203" s="15"/>
      <c r="HM203" s="15"/>
      <c r="HN203" s="15"/>
      <c r="HO203" s="15"/>
      <c r="HP203" s="15"/>
      <c r="HQ203" s="15"/>
      <c r="HR203" s="15"/>
      <c r="HS203" s="15"/>
      <c r="HT203" s="15"/>
      <c r="HU203" s="15"/>
      <c r="HV203" s="15"/>
      <c r="HW203" s="15"/>
      <c r="HX203" s="15"/>
      <c r="HY203" s="15"/>
      <c r="HZ203" s="15"/>
      <c r="IA203" s="15"/>
      <c r="IB203" s="15"/>
      <c r="IC203" s="15"/>
      <c r="ID203" s="15"/>
      <c r="IE203" s="15"/>
      <c r="IF203" s="15"/>
      <c r="IG203" s="15"/>
      <c r="IH203" s="15"/>
      <c r="II203" s="15"/>
      <c r="IJ203" s="15"/>
      <c r="IK203" s="15"/>
      <c r="IL203" s="15"/>
      <c r="IM203" s="15"/>
      <c r="IN203" s="15"/>
      <c r="IO203" s="15"/>
      <c r="IP203" s="15"/>
      <c r="IQ203" s="15"/>
      <c r="IR203" s="15"/>
      <c r="IS203" s="15"/>
      <c r="IT203" s="15"/>
      <c r="IU203" s="15"/>
      <c r="IV203" s="15"/>
      <c r="IW203" s="15"/>
      <c r="IX203" s="15"/>
      <c r="IY203" s="15"/>
      <c r="IZ203" s="15"/>
      <c r="JA203" s="15"/>
      <c r="JB203" s="15"/>
      <c r="JC203" s="15"/>
      <c r="JD203" s="15"/>
      <c r="JE203" s="15"/>
      <c r="JF203" s="15"/>
      <c r="JG203" s="15"/>
      <c r="JH203" s="15"/>
      <c r="JI203" s="15"/>
      <c r="JJ203" s="15"/>
      <c r="JK203" s="15"/>
      <c r="JL203" s="15"/>
      <c r="JM203" s="15"/>
      <c r="JN203" s="15"/>
      <c r="JO203" s="15"/>
      <c r="JP203" s="15"/>
      <c r="JQ203" s="15"/>
      <c r="JR203" s="15"/>
      <c r="JS203" s="15"/>
      <c r="JT203" s="15"/>
      <c r="JU203" s="15"/>
      <c r="JV203" s="15"/>
      <c r="JW203" s="15"/>
      <c r="JX203" s="15"/>
      <c r="JY203" s="15"/>
      <c r="JZ203" s="15"/>
      <c r="KA203" s="15"/>
      <c r="KB203" s="15"/>
      <c r="KC203" s="15"/>
      <c r="KD203" s="15"/>
      <c r="KE203" s="15"/>
      <c r="KF203" s="15"/>
      <c r="KG203" s="15"/>
      <c r="KH203" s="15"/>
      <c r="KI203" s="15"/>
      <c r="KJ203" s="15"/>
      <c r="KK203" s="15"/>
      <c r="KL203" s="15"/>
      <c r="KM203" s="15"/>
      <c r="KN203" s="15"/>
      <c r="KO203" s="15"/>
      <c r="KP203" s="15"/>
      <c r="KQ203" s="15"/>
      <c r="KR203" s="15"/>
      <c r="KS203" s="15"/>
      <c r="KT203" s="15"/>
      <c r="KU203" s="15"/>
      <c r="KV203" s="15"/>
      <c r="KW203" s="15"/>
      <c r="KX203" s="15"/>
      <c r="KY203" s="15"/>
      <c r="KZ203" s="15"/>
      <c r="LA203" s="15"/>
      <c r="LB203" s="15"/>
      <c r="LC203" s="15"/>
      <c r="LD203" s="15"/>
      <c r="LE203" s="15"/>
      <c r="LF203" s="15"/>
      <c r="LG203" s="15"/>
      <c r="LH203" s="15"/>
      <c r="LI203" s="15"/>
      <c r="LJ203" s="15"/>
      <c r="LK203" s="15"/>
      <c r="LL203" s="15"/>
      <c r="LM203" s="15"/>
      <c r="LN203" s="15"/>
      <c r="LO203" s="15"/>
      <c r="LP203" s="15"/>
      <c r="LQ203" s="15"/>
      <c r="LR203" s="15"/>
      <c r="LS203" s="15"/>
      <c r="LT203" s="15"/>
      <c r="LU203" s="15"/>
      <c r="LV203" s="15"/>
      <c r="NW203" s="15"/>
      <c r="NX203" s="15"/>
    </row>
    <row r="204" spans="4:388">
      <c r="D204" s="15"/>
      <c r="E204" s="15"/>
      <c r="F204" s="15"/>
      <c r="G204" s="74"/>
      <c r="CE204" s="647"/>
      <c r="CF204" s="647"/>
      <c r="CG204" s="647"/>
      <c r="CH204" s="647"/>
      <c r="CI204" s="647"/>
      <c r="CJ204" s="647"/>
      <c r="CK204" s="647"/>
      <c r="CL204" s="647"/>
      <c r="CM204" s="647"/>
      <c r="CN204" s="647"/>
      <c r="CO204" s="647"/>
      <c r="EG204" s="15"/>
      <c r="EH204" s="15"/>
      <c r="EI204" s="15"/>
      <c r="EJ204" s="15"/>
      <c r="EK204" s="15"/>
      <c r="EL204" s="15"/>
      <c r="EM204" s="15"/>
      <c r="EN204" s="15"/>
      <c r="EO204" s="15"/>
      <c r="EP204" s="15"/>
      <c r="EQ204" s="15"/>
      <c r="ER204" s="15"/>
      <c r="ES204" s="15"/>
      <c r="ET204" s="15"/>
      <c r="EU204" s="15"/>
      <c r="EV204" s="15"/>
      <c r="EW204" s="15"/>
      <c r="EX204" s="15"/>
      <c r="FA204" s="15"/>
      <c r="FB204" s="15"/>
      <c r="FC204" s="15"/>
      <c r="FD204" s="15"/>
      <c r="FE204" s="15"/>
      <c r="FF204" s="15"/>
      <c r="FG204" s="15"/>
      <c r="FH204" s="15"/>
      <c r="FI204" s="15"/>
      <c r="FJ204" s="15"/>
      <c r="FK204" s="15"/>
      <c r="FL204" s="15"/>
      <c r="FM204" s="15"/>
      <c r="FN204" s="15"/>
      <c r="FO204" s="15"/>
      <c r="FP204" s="15"/>
      <c r="FQ204" s="15"/>
      <c r="FR204" s="15"/>
      <c r="FS204" s="15"/>
      <c r="FT204" s="15"/>
      <c r="FU204" s="15"/>
      <c r="FV204" s="15"/>
      <c r="FW204" s="15"/>
      <c r="FX204" s="15"/>
      <c r="FY204" s="15"/>
      <c r="FZ204" s="15"/>
      <c r="GA204" s="15"/>
      <c r="GB204" s="15"/>
      <c r="GC204" s="15"/>
      <c r="GD204" s="15"/>
      <c r="GE204" s="15"/>
      <c r="GF204" s="15"/>
      <c r="GG204" s="15"/>
      <c r="GH204" s="15"/>
      <c r="GI204" s="15"/>
      <c r="GJ204" s="15"/>
      <c r="GK204" s="15"/>
      <c r="GL204" s="15"/>
      <c r="GM204" s="15"/>
      <c r="GN204" s="15"/>
      <c r="GO204" s="15"/>
      <c r="GP204" s="15"/>
      <c r="GQ204" s="15"/>
      <c r="GR204" s="15"/>
      <c r="GS204" s="15"/>
      <c r="GT204" s="15"/>
      <c r="GU204" s="15"/>
      <c r="GV204" s="15"/>
      <c r="GW204" s="15"/>
      <c r="GX204" s="15"/>
      <c r="GY204" s="15"/>
      <c r="GZ204" s="15"/>
      <c r="HA204" s="15"/>
      <c r="HB204" s="15"/>
      <c r="HC204" s="15"/>
      <c r="HD204" s="15"/>
      <c r="HE204" s="15"/>
      <c r="HF204" s="15"/>
      <c r="HG204" s="15"/>
      <c r="HH204" s="15"/>
      <c r="HI204" s="15"/>
      <c r="HJ204" s="15"/>
      <c r="HK204" s="15"/>
      <c r="HL204" s="15"/>
      <c r="HM204" s="15"/>
      <c r="HN204" s="15"/>
      <c r="HO204" s="15"/>
      <c r="HP204" s="15"/>
      <c r="HQ204" s="15"/>
      <c r="HR204" s="15"/>
      <c r="HS204" s="15"/>
      <c r="HT204" s="15"/>
      <c r="HU204" s="15"/>
      <c r="HV204" s="15"/>
      <c r="HW204" s="15"/>
      <c r="HX204" s="15"/>
      <c r="HY204" s="15"/>
      <c r="HZ204" s="15"/>
      <c r="IA204" s="15"/>
      <c r="IB204" s="15"/>
      <c r="IC204" s="15"/>
      <c r="ID204" s="15"/>
      <c r="IE204" s="15"/>
      <c r="IF204" s="15"/>
      <c r="IG204" s="15"/>
      <c r="IH204" s="15"/>
      <c r="II204" s="15"/>
      <c r="IJ204" s="15"/>
      <c r="IK204" s="15"/>
      <c r="IL204" s="15"/>
      <c r="IM204" s="15"/>
      <c r="IN204" s="15"/>
      <c r="IO204" s="15"/>
      <c r="IP204" s="15"/>
      <c r="IQ204" s="15"/>
      <c r="IR204" s="15"/>
      <c r="IS204" s="15"/>
      <c r="IT204" s="15"/>
      <c r="IU204" s="15"/>
      <c r="IV204" s="15"/>
      <c r="IW204" s="15"/>
      <c r="IX204" s="15"/>
      <c r="IY204" s="15"/>
      <c r="IZ204" s="15"/>
      <c r="JA204" s="15"/>
      <c r="JB204" s="15"/>
      <c r="JC204" s="15"/>
      <c r="JD204" s="15"/>
      <c r="JE204" s="15"/>
      <c r="JF204" s="15"/>
      <c r="JG204" s="15"/>
      <c r="JH204" s="15"/>
      <c r="JI204" s="15"/>
      <c r="JJ204" s="15"/>
      <c r="JK204" s="15"/>
      <c r="JL204" s="15"/>
      <c r="JM204" s="15"/>
      <c r="JN204" s="15"/>
      <c r="JO204" s="15"/>
      <c r="JP204" s="15"/>
      <c r="JQ204" s="15"/>
      <c r="JR204" s="15"/>
      <c r="JS204" s="15"/>
      <c r="JT204" s="15"/>
      <c r="JU204" s="15"/>
      <c r="JV204" s="15"/>
      <c r="JW204" s="15"/>
      <c r="JX204" s="15"/>
      <c r="JY204" s="15"/>
      <c r="JZ204" s="15"/>
      <c r="KA204" s="15"/>
      <c r="KB204" s="15"/>
      <c r="KC204" s="15"/>
      <c r="KD204" s="15"/>
      <c r="KE204" s="15"/>
      <c r="KF204" s="15"/>
      <c r="KG204" s="15"/>
      <c r="KH204" s="15"/>
      <c r="KI204" s="15"/>
      <c r="KJ204" s="15"/>
      <c r="KK204" s="15"/>
      <c r="KL204" s="15"/>
      <c r="KM204" s="15"/>
      <c r="KN204" s="15"/>
      <c r="KO204" s="15"/>
      <c r="KP204" s="15"/>
      <c r="KQ204" s="15"/>
      <c r="KR204" s="15"/>
      <c r="KS204" s="15"/>
      <c r="KT204" s="15"/>
      <c r="KU204" s="15"/>
      <c r="KV204" s="15"/>
      <c r="KW204" s="15"/>
      <c r="KX204" s="15"/>
      <c r="KY204" s="15"/>
      <c r="KZ204" s="15"/>
      <c r="LA204" s="15"/>
      <c r="LB204" s="15"/>
      <c r="LC204" s="15"/>
      <c r="LD204" s="15"/>
      <c r="LE204" s="15"/>
      <c r="LF204" s="15"/>
      <c r="LG204" s="15"/>
      <c r="LH204" s="15"/>
      <c r="LI204" s="15"/>
      <c r="LJ204" s="15"/>
      <c r="LK204" s="15"/>
      <c r="LL204" s="15"/>
      <c r="LM204" s="15"/>
      <c r="LN204" s="15"/>
      <c r="LO204" s="15"/>
      <c r="LP204" s="15"/>
      <c r="LQ204" s="15"/>
      <c r="LR204" s="15"/>
      <c r="LS204" s="15"/>
      <c r="LT204" s="15"/>
      <c r="LU204" s="15"/>
      <c r="LV204" s="15"/>
      <c r="NW204" s="15"/>
      <c r="NX204" s="15"/>
    </row>
    <row r="205" spans="4:388">
      <c r="D205" s="15"/>
      <c r="E205" s="15"/>
      <c r="F205" s="15"/>
      <c r="CE205" s="647"/>
      <c r="CF205" s="647"/>
      <c r="CG205" s="647"/>
      <c r="CH205" s="647"/>
      <c r="CI205" s="647"/>
      <c r="CJ205" s="647"/>
      <c r="CK205" s="647"/>
      <c r="CL205" s="647"/>
      <c r="CM205" s="647"/>
      <c r="CN205" s="647"/>
      <c r="CO205" s="647"/>
      <c r="EG205" s="15"/>
      <c r="EH205" s="15"/>
      <c r="EI205" s="15"/>
      <c r="EJ205" s="15"/>
      <c r="EK205" s="15"/>
      <c r="EL205" s="15"/>
      <c r="EM205" s="15"/>
      <c r="EN205" s="15"/>
      <c r="EO205" s="15"/>
      <c r="EP205" s="15"/>
      <c r="EQ205" s="15"/>
      <c r="ER205" s="15"/>
      <c r="ES205" s="15"/>
      <c r="ET205" s="15"/>
      <c r="EU205" s="15"/>
      <c r="EV205" s="15"/>
      <c r="EW205" s="15"/>
      <c r="EX205" s="15"/>
      <c r="FA205" s="15"/>
      <c r="FB205" s="15"/>
      <c r="FC205" s="15"/>
      <c r="FD205" s="15"/>
      <c r="FE205" s="15"/>
      <c r="FF205" s="15"/>
      <c r="FG205" s="15"/>
      <c r="FH205" s="15"/>
      <c r="FI205" s="15"/>
      <c r="FJ205" s="15"/>
      <c r="FK205" s="15"/>
      <c r="FL205" s="15"/>
      <c r="FM205" s="15"/>
      <c r="FN205" s="15"/>
      <c r="FO205" s="15"/>
      <c r="FP205" s="15"/>
      <c r="FQ205" s="15"/>
      <c r="FR205" s="15"/>
      <c r="FS205" s="15"/>
      <c r="FT205" s="15"/>
      <c r="FU205" s="15"/>
      <c r="FV205" s="15"/>
      <c r="FW205" s="15"/>
      <c r="FX205" s="15"/>
      <c r="FY205" s="15"/>
      <c r="FZ205" s="15"/>
      <c r="GA205" s="15"/>
      <c r="GB205" s="15"/>
      <c r="GC205" s="15"/>
      <c r="GD205" s="15"/>
      <c r="GE205" s="15"/>
      <c r="GF205" s="15"/>
      <c r="GG205" s="15"/>
      <c r="GH205" s="15"/>
      <c r="GI205" s="15"/>
      <c r="GJ205" s="15"/>
      <c r="GK205" s="15"/>
      <c r="GL205" s="15"/>
      <c r="GM205" s="15"/>
      <c r="GN205" s="15"/>
      <c r="GO205" s="15"/>
      <c r="GP205" s="15"/>
      <c r="GQ205" s="15"/>
      <c r="GR205" s="15"/>
      <c r="GS205" s="15"/>
      <c r="GT205" s="15"/>
      <c r="GU205" s="15"/>
      <c r="GV205" s="15"/>
      <c r="GW205" s="15"/>
      <c r="GX205" s="15"/>
      <c r="GY205" s="15"/>
      <c r="GZ205" s="15"/>
      <c r="HA205" s="15"/>
      <c r="HB205" s="15"/>
      <c r="HC205" s="15"/>
      <c r="HD205" s="15"/>
      <c r="HE205" s="15"/>
      <c r="HF205" s="15"/>
      <c r="HG205" s="15"/>
      <c r="HH205" s="15"/>
      <c r="HI205" s="15"/>
      <c r="HJ205" s="15"/>
      <c r="HK205" s="15"/>
      <c r="HL205" s="15"/>
      <c r="HM205" s="15"/>
      <c r="HN205" s="15"/>
      <c r="HO205" s="15"/>
      <c r="HP205" s="15"/>
      <c r="HQ205" s="15"/>
      <c r="HR205" s="15"/>
      <c r="HS205" s="15"/>
      <c r="HT205" s="15"/>
      <c r="HU205" s="15"/>
      <c r="HV205" s="15"/>
      <c r="HW205" s="15"/>
      <c r="HX205" s="15"/>
      <c r="HY205" s="15"/>
      <c r="HZ205" s="15"/>
      <c r="IA205" s="15"/>
      <c r="IB205" s="15"/>
      <c r="IC205" s="15"/>
      <c r="ID205" s="15"/>
      <c r="IE205" s="15"/>
      <c r="IF205" s="15"/>
      <c r="IG205" s="15"/>
      <c r="IH205" s="15"/>
      <c r="II205" s="15"/>
      <c r="IJ205" s="15"/>
      <c r="IK205" s="15"/>
      <c r="IL205" s="15"/>
      <c r="IM205" s="15"/>
      <c r="IN205" s="15"/>
      <c r="IO205" s="15"/>
      <c r="IP205" s="15"/>
      <c r="IQ205" s="15"/>
      <c r="IR205" s="15"/>
      <c r="IS205" s="15"/>
      <c r="IT205" s="15"/>
      <c r="IU205" s="15"/>
      <c r="IV205" s="15"/>
      <c r="IW205" s="15"/>
      <c r="IX205" s="15"/>
      <c r="IY205" s="15"/>
      <c r="IZ205" s="15"/>
      <c r="JA205" s="15"/>
      <c r="JB205" s="15"/>
      <c r="JC205" s="15"/>
      <c r="JD205" s="15"/>
      <c r="JE205" s="15"/>
      <c r="JF205" s="15"/>
      <c r="JG205" s="15"/>
      <c r="JH205" s="15"/>
      <c r="JI205" s="15"/>
      <c r="JJ205" s="15"/>
      <c r="JK205" s="15"/>
      <c r="JL205" s="15"/>
      <c r="JM205" s="15"/>
      <c r="JN205" s="15"/>
      <c r="JO205" s="15"/>
      <c r="JP205" s="15"/>
      <c r="JQ205" s="15"/>
      <c r="JR205" s="15"/>
      <c r="JS205" s="15"/>
      <c r="JT205" s="15"/>
      <c r="JU205" s="15"/>
      <c r="JV205" s="15"/>
      <c r="JW205" s="15"/>
      <c r="JX205" s="15"/>
      <c r="JY205" s="15"/>
      <c r="JZ205" s="15"/>
      <c r="KA205" s="15"/>
      <c r="KB205" s="15"/>
      <c r="KC205" s="15"/>
      <c r="KD205" s="15"/>
      <c r="KE205" s="15"/>
      <c r="KF205" s="15"/>
      <c r="KG205" s="15"/>
      <c r="KH205" s="15"/>
      <c r="KI205" s="15"/>
      <c r="KJ205" s="15"/>
      <c r="KK205" s="15"/>
      <c r="KL205" s="15"/>
      <c r="KM205" s="15"/>
      <c r="KN205" s="15"/>
      <c r="KO205" s="15"/>
      <c r="KP205" s="15"/>
      <c r="KQ205" s="15"/>
      <c r="KR205" s="15"/>
      <c r="KS205" s="15"/>
      <c r="KT205" s="15"/>
      <c r="KU205" s="15"/>
      <c r="KV205" s="15"/>
      <c r="KW205" s="15"/>
      <c r="KX205" s="15"/>
      <c r="KY205" s="15"/>
      <c r="KZ205" s="15"/>
      <c r="LA205" s="15"/>
      <c r="LB205" s="15"/>
      <c r="LC205" s="15"/>
      <c r="LD205" s="15"/>
      <c r="LE205" s="15"/>
      <c r="LF205" s="15"/>
      <c r="LG205" s="15"/>
      <c r="LH205" s="15"/>
      <c r="LI205" s="15"/>
      <c r="LJ205" s="15"/>
      <c r="LK205" s="15"/>
      <c r="LL205" s="15"/>
      <c r="LM205" s="15"/>
      <c r="LN205" s="15"/>
      <c r="LO205" s="15"/>
      <c r="LP205" s="15"/>
      <c r="LQ205" s="15"/>
      <c r="LR205" s="15"/>
      <c r="LS205" s="15"/>
      <c r="LT205" s="15"/>
      <c r="LU205" s="15"/>
      <c r="LV205" s="15"/>
      <c r="NW205" s="15"/>
      <c r="NX205" s="15"/>
    </row>
    <row r="206" spans="4:388">
      <c r="D206" s="15"/>
      <c r="E206" s="15"/>
      <c r="F206" s="15"/>
      <c r="CE206" s="647"/>
      <c r="CF206" s="647"/>
      <c r="CG206" s="647"/>
      <c r="CH206" s="647"/>
      <c r="CI206" s="647"/>
      <c r="CJ206" s="647"/>
      <c r="CK206" s="647"/>
      <c r="CL206" s="647"/>
      <c r="CM206" s="647"/>
      <c r="CN206" s="647"/>
      <c r="CO206" s="647"/>
      <c r="EG206" s="15"/>
      <c r="EH206" s="15"/>
      <c r="EI206" s="15"/>
      <c r="EJ206" s="15"/>
      <c r="EK206" s="15"/>
      <c r="EL206" s="15"/>
      <c r="EM206" s="15"/>
      <c r="EN206" s="15"/>
      <c r="EO206" s="15"/>
      <c r="EP206" s="15"/>
      <c r="EQ206" s="15"/>
      <c r="ER206" s="15"/>
      <c r="ES206" s="15"/>
      <c r="ET206" s="15"/>
      <c r="EU206" s="15"/>
      <c r="EV206" s="15"/>
      <c r="EW206" s="15"/>
      <c r="EX206" s="15"/>
      <c r="FA206" s="15"/>
      <c r="FB206" s="15"/>
      <c r="FC206" s="15"/>
      <c r="FD206" s="15"/>
      <c r="FE206" s="15"/>
      <c r="FF206" s="15"/>
      <c r="FG206" s="15"/>
      <c r="FH206" s="15"/>
      <c r="FI206" s="15"/>
      <c r="FJ206" s="15"/>
      <c r="FK206" s="15"/>
      <c r="FL206" s="15"/>
      <c r="FM206" s="15"/>
      <c r="FN206" s="15"/>
      <c r="FO206" s="15"/>
      <c r="FP206" s="15"/>
      <c r="FQ206" s="15"/>
      <c r="FR206" s="15"/>
      <c r="FS206" s="15"/>
      <c r="FT206" s="15"/>
      <c r="FU206" s="15"/>
      <c r="FV206" s="15"/>
      <c r="FW206" s="15"/>
      <c r="FX206" s="15"/>
      <c r="FY206" s="15"/>
      <c r="FZ206" s="15"/>
      <c r="GA206" s="15"/>
      <c r="GB206" s="15"/>
      <c r="GC206" s="15"/>
      <c r="GD206" s="15"/>
      <c r="GE206" s="15"/>
      <c r="GF206" s="15"/>
      <c r="GG206" s="15"/>
      <c r="GH206" s="15"/>
      <c r="GI206" s="15"/>
      <c r="GJ206" s="15"/>
      <c r="GK206" s="15"/>
      <c r="GL206" s="15"/>
      <c r="GM206" s="15"/>
      <c r="GN206" s="15"/>
      <c r="GO206" s="15"/>
      <c r="GP206" s="15"/>
      <c r="GQ206" s="15"/>
      <c r="GR206" s="15"/>
      <c r="GS206" s="15"/>
      <c r="GT206" s="15"/>
      <c r="GU206" s="15"/>
      <c r="GV206" s="15"/>
      <c r="GW206" s="15"/>
      <c r="GX206" s="15"/>
      <c r="GY206" s="15"/>
      <c r="GZ206" s="15"/>
      <c r="HA206" s="15"/>
      <c r="HB206" s="15"/>
      <c r="HC206" s="15"/>
      <c r="HD206" s="15"/>
      <c r="HE206" s="15"/>
      <c r="HF206" s="15"/>
      <c r="HG206" s="15"/>
      <c r="HH206" s="15"/>
      <c r="HI206" s="15"/>
      <c r="HJ206" s="15"/>
      <c r="HK206" s="15"/>
      <c r="HL206" s="15"/>
      <c r="HM206" s="15"/>
      <c r="HN206" s="15"/>
      <c r="HO206" s="15"/>
      <c r="HP206" s="15"/>
      <c r="HQ206" s="15"/>
      <c r="HR206" s="15"/>
      <c r="HS206" s="15"/>
      <c r="HT206" s="15"/>
      <c r="HU206" s="15"/>
      <c r="HV206" s="15"/>
      <c r="HW206" s="15"/>
      <c r="HX206" s="15"/>
      <c r="HY206" s="15"/>
      <c r="HZ206" s="15"/>
      <c r="IA206" s="15"/>
      <c r="IB206" s="15"/>
      <c r="IC206" s="15"/>
      <c r="ID206" s="15"/>
      <c r="IE206" s="15"/>
      <c r="IF206" s="15"/>
      <c r="IG206" s="15"/>
      <c r="IH206" s="15"/>
      <c r="II206" s="15"/>
      <c r="IJ206" s="15"/>
      <c r="IK206" s="15"/>
      <c r="IL206" s="15"/>
      <c r="IM206" s="15"/>
      <c r="IN206" s="15"/>
      <c r="IO206" s="15"/>
      <c r="IP206" s="15"/>
      <c r="IQ206" s="15"/>
      <c r="IR206" s="15"/>
      <c r="IS206" s="15"/>
      <c r="IT206" s="15"/>
      <c r="IU206" s="15"/>
      <c r="IV206" s="15"/>
      <c r="IW206" s="15"/>
      <c r="IX206" s="15"/>
      <c r="IY206" s="15"/>
      <c r="IZ206" s="15"/>
      <c r="JA206" s="15"/>
      <c r="JB206" s="15"/>
      <c r="JC206" s="15"/>
      <c r="JD206" s="15"/>
      <c r="JE206" s="15"/>
      <c r="JF206" s="15"/>
      <c r="JG206" s="15"/>
      <c r="JH206" s="15"/>
      <c r="JI206" s="15"/>
      <c r="JJ206" s="15"/>
      <c r="JK206" s="15"/>
      <c r="JL206" s="15"/>
      <c r="JM206" s="15"/>
      <c r="JN206" s="15"/>
      <c r="JO206" s="15"/>
      <c r="JP206" s="15"/>
      <c r="JQ206" s="15"/>
      <c r="JR206" s="15"/>
      <c r="JS206" s="15"/>
      <c r="JT206" s="15"/>
      <c r="JU206" s="15"/>
      <c r="JV206" s="15"/>
      <c r="JW206" s="15"/>
      <c r="JX206" s="15"/>
      <c r="JY206" s="15"/>
      <c r="JZ206" s="15"/>
      <c r="KA206" s="15"/>
      <c r="KB206" s="15"/>
      <c r="KC206" s="15"/>
      <c r="KD206" s="15"/>
      <c r="KE206" s="15"/>
      <c r="KF206" s="15"/>
      <c r="KG206" s="15"/>
      <c r="KH206" s="15"/>
      <c r="KI206" s="15"/>
      <c r="KJ206" s="15"/>
      <c r="KK206" s="15"/>
      <c r="KL206" s="15"/>
      <c r="KM206" s="15"/>
      <c r="KN206" s="15"/>
      <c r="KO206" s="15"/>
      <c r="KP206" s="15"/>
      <c r="KQ206" s="15"/>
      <c r="KR206" s="15"/>
      <c r="KS206" s="15"/>
      <c r="KT206" s="15"/>
      <c r="KU206" s="15"/>
      <c r="KV206" s="15"/>
      <c r="KW206" s="15"/>
      <c r="KX206" s="15"/>
      <c r="KY206" s="15"/>
      <c r="KZ206" s="15"/>
      <c r="LA206" s="15"/>
      <c r="LB206" s="15"/>
      <c r="LC206" s="15"/>
      <c r="LD206" s="15"/>
      <c r="LE206" s="15"/>
      <c r="LF206" s="15"/>
      <c r="LG206" s="15"/>
      <c r="LH206" s="15"/>
      <c r="LI206" s="15"/>
      <c r="LJ206" s="15"/>
      <c r="LK206" s="15"/>
      <c r="LL206" s="15"/>
      <c r="LM206" s="15"/>
      <c r="LN206" s="15"/>
      <c r="LO206" s="15"/>
      <c r="LP206" s="15"/>
      <c r="LQ206" s="15"/>
      <c r="LR206" s="15"/>
      <c r="LS206" s="15"/>
      <c r="LT206" s="15"/>
      <c r="LU206" s="15"/>
      <c r="LV206" s="15"/>
      <c r="NW206" s="15"/>
      <c r="NX206" s="15"/>
    </row>
    <row r="207" spans="4:388">
      <c r="D207" s="15"/>
      <c r="E207" s="15"/>
      <c r="F207" s="15"/>
      <c r="CE207" s="353"/>
      <c r="CF207" s="353"/>
      <c r="CG207" s="353"/>
      <c r="CH207" s="353"/>
      <c r="CI207" s="353"/>
      <c r="CJ207" s="353"/>
      <c r="CK207" s="353"/>
      <c r="CL207" s="353"/>
      <c r="CM207" s="353"/>
      <c r="CN207" s="353"/>
      <c r="CO207" s="353"/>
      <c r="EG207" s="15"/>
      <c r="EH207" s="15"/>
      <c r="EI207" s="15"/>
      <c r="EJ207" s="15"/>
      <c r="EK207" s="15"/>
      <c r="EL207" s="15"/>
      <c r="EM207" s="15"/>
      <c r="EN207" s="15"/>
      <c r="EO207" s="15"/>
      <c r="EP207" s="15"/>
      <c r="EQ207" s="15"/>
      <c r="ER207" s="15"/>
      <c r="ES207" s="15"/>
      <c r="ET207" s="15"/>
      <c r="EU207" s="15"/>
      <c r="EV207" s="15"/>
      <c r="EW207" s="15"/>
      <c r="EX207" s="15"/>
      <c r="FA207" s="15"/>
      <c r="FB207" s="15"/>
      <c r="FC207" s="15"/>
      <c r="FD207" s="15"/>
      <c r="FE207" s="15"/>
      <c r="FF207" s="15"/>
      <c r="FG207" s="15"/>
      <c r="FH207" s="15"/>
      <c r="FI207" s="15"/>
      <c r="FJ207" s="15"/>
      <c r="FK207" s="15"/>
      <c r="FL207" s="15"/>
      <c r="FM207" s="15"/>
      <c r="FN207" s="15"/>
      <c r="FO207" s="15"/>
      <c r="FP207" s="15"/>
      <c r="FQ207" s="15"/>
      <c r="FR207" s="15"/>
      <c r="FS207" s="15"/>
      <c r="FT207" s="15"/>
      <c r="FU207" s="15"/>
      <c r="FV207" s="15"/>
      <c r="FW207" s="15"/>
      <c r="FX207" s="15"/>
      <c r="FY207" s="15"/>
      <c r="FZ207" s="15"/>
      <c r="GA207" s="15"/>
      <c r="GB207" s="15"/>
      <c r="GC207" s="15"/>
      <c r="GD207" s="15"/>
      <c r="GE207" s="15"/>
      <c r="GF207" s="15"/>
      <c r="GG207" s="15"/>
      <c r="GH207" s="15"/>
      <c r="GI207" s="15"/>
      <c r="GJ207" s="15"/>
      <c r="GK207" s="15"/>
      <c r="GL207" s="15"/>
      <c r="GM207" s="15"/>
      <c r="GN207" s="15"/>
      <c r="GO207" s="15"/>
      <c r="GP207" s="15"/>
      <c r="GQ207" s="15"/>
      <c r="GR207" s="15"/>
      <c r="GS207" s="15"/>
      <c r="GT207" s="15"/>
      <c r="GU207" s="15"/>
      <c r="GV207" s="15"/>
      <c r="GW207" s="15"/>
      <c r="GX207" s="15"/>
      <c r="GY207" s="15"/>
      <c r="GZ207" s="15"/>
      <c r="HA207" s="15"/>
      <c r="HB207" s="15"/>
      <c r="HC207" s="15"/>
      <c r="HD207" s="15"/>
      <c r="HE207" s="15"/>
      <c r="HF207" s="15"/>
      <c r="HG207" s="15"/>
      <c r="HH207" s="15"/>
      <c r="HI207" s="15"/>
      <c r="HJ207" s="15"/>
      <c r="HK207" s="15"/>
      <c r="HL207" s="15"/>
      <c r="HM207" s="15"/>
      <c r="HN207" s="15"/>
      <c r="HO207" s="15"/>
      <c r="HP207" s="15"/>
      <c r="HQ207" s="15"/>
      <c r="HR207" s="15"/>
      <c r="HS207" s="15"/>
      <c r="HT207" s="15"/>
      <c r="HU207" s="15"/>
      <c r="HV207" s="15"/>
      <c r="HW207" s="15"/>
      <c r="HX207" s="15"/>
      <c r="HY207" s="15"/>
      <c r="HZ207" s="15"/>
      <c r="IA207" s="15"/>
      <c r="IB207" s="15"/>
      <c r="IC207" s="15"/>
      <c r="ID207" s="15"/>
      <c r="IE207" s="15"/>
      <c r="IF207" s="15"/>
      <c r="IG207" s="15"/>
      <c r="IH207" s="15"/>
      <c r="II207" s="15"/>
      <c r="IJ207" s="15"/>
      <c r="IK207" s="15"/>
      <c r="IL207" s="15"/>
      <c r="IM207" s="15"/>
      <c r="IN207" s="15"/>
      <c r="IO207" s="15"/>
      <c r="IP207" s="15"/>
      <c r="IQ207" s="15"/>
      <c r="IR207" s="15"/>
      <c r="IS207" s="15"/>
      <c r="IT207" s="15"/>
      <c r="IU207" s="15"/>
      <c r="IV207" s="15"/>
      <c r="IW207" s="15"/>
      <c r="IX207" s="15"/>
      <c r="IY207" s="15"/>
      <c r="IZ207" s="15"/>
      <c r="JA207" s="15"/>
      <c r="JB207" s="15"/>
      <c r="JC207" s="15"/>
      <c r="JD207" s="15"/>
      <c r="JE207" s="15"/>
      <c r="JF207" s="15"/>
      <c r="JG207" s="15"/>
      <c r="JH207" s="15"/>
      <c r="JI207" s="15"/>
      <c r="JJ207" s="15"/>
      <c r="JK207" s="15"/>
      <c r="JL207" s="15"/>
      <c r="JM207" s="15"/>
      <c r="JN207" s="15"/>
      <c r="JO207" s="15"/>
      <c r="JP207" s="15"/>
      <c r="JQ207" s="15"/>
      <c r="JR207" s="15"/>
      <c r="JS207" s="15"/>
      <c r="JT207" s="15"/>
      <c r="JU207" s="15"/>
      <c r="JV207" s="15"/>
      <c r="JW207" s="15"/>
      <c r="JX207" s="15"/>
      <c r="JY207" s="15"/>
      <c r="JZ207" s="15"/>
      <c r="KA207" s="15"/>
      <c r="KB207" s="15"/>
      <c r="KC207" s="15"/>
      <c r="KD207" s="15"/>
      <c r="KE207" s="15"/>
      <c r="KF207" s="15"/>
      <c r="KG207" s="15"/>
      <c r="KH207" s="15"/>
      <c r="KI207" s="15"/>
      <c r="KJ207" s="15"/>
      <c r="KK207" s="15"/>
      <c r="KL207" s="15"/>
      <c r="KM207" s="15"/>
      <c r="KN207" s="15"/>
      <c r="KO207" s="15"/>
      <c r="KP207" s="15"/>
      <c r="KQ207" s="15"/>
      <c r="KR207" s="15"/>
      <c r="KS207" s="15"/>
      <c r="KT207" s="15"/>
      <c r="KU207" s="15"/>
      <c r="KV207" s="15"/>
      <c r="KW207" s="15"/>
      <c r="KX207" s="15"/>
      <c r="KY207" s="15"/>
      <c r="KZ207" s="15"/>
      <c r="LA207" s="15"/>
      <c r="LB207" s="15"/>
      <c r="LC207" s="15"/>
      <c r="LD207" s="15"/>
      <c r="LE207" s="15"/>
      <c r="LF207" s="15"/>
      <c r="LG207" s="15"/>
      <c r="LH207" s="15"/>
      <c r="LI207" s="15"/>
      <c r="LJ207" s="15"/>
      <c r="LK207" s="15"/>
      <c r="LL207" s="15"/>
      <c r="LM207" s="15"/>
      <c r="LN207" s="15"/>
      <c r="LO207" s="15"/>
      <c r="LP207" s="15"/>
      <c r="LQ207" s="15"/>
      <c r="LR207" s="15"/>
      <c r="LS207" s="15"/>
      <c r="LT207" s="15"/>
      <c r="LU207" s="15"/>
      <c r="LV207" s="15"/>
      <c r="NW207" s="15"/>
      <c r="NX207" s="15"/>
    </row>
    <row r="208" spans="4:388">
      <c r="D208" s="15"/>
      <c r="E208" s="15"/>
      <c r="F208" s="15"/>
      <c r="CE208" s="353"/>
      <c r="CF208" s="353"/>
      <c r="CG208" s="353"/>
      <c r="CH208" s="353"/>
      <c r="CI208" s="353"/>
      <c r="CJ208" s="353"/>
      <c r="CK208" s="353"/>
      <c r="CL208" s="353"/>
      <c r="CM208" s="353"/>
      <c r="CN208" s="353"/>
      <c r="CO208" s="353"/>
      <c r="EG208" s="15"/>
      <c r="EH208" s="15"/>
      <c r="EI208" s="15"/>
      <c r="EJ208" s="15"/>
      <c r="EK208" s="15"/>
      <c r="EL208" s="15"/>
      <c r="EM208" s="15"/>
      <c r="EN208" s="15"/>
      <c r="EO208" s="15"/>
      <c r="EP208" s="15"/>
      <c r="EQ208" s="15"/>
      <c r="ER208" s="15"/>
      <c r="ES208" s="15"/>
      <c r="ET208" s="15"/>
      <c r="EU208" s="15"/>
      <c r="EV208" s="15"/>
      <c r="EW208" s="15"/>
      <c r="EX208" s="15"/>
      <c r="FA208" s="15"/>
      <c r="FB208" s="15"/>
      <c r="FC208" s="15"/>
      <c r="FD208" s="15"/>
      <c r="FE208" s="15"/>
      <c r="FF208" s="15"/>
      <c r="FG208" s="15"/>
      <c r="FH208" s="15"/>
      <c r="FI208" s="15"/>
      <c r="FJ208" s="15"/>
      <c r="FK208" s="15"/>
      <c r="FL208" s="15"/>
      <c r="FM208" s="15"/>
      <c r="FN208" s="15"/>
      <c r="FO208" s="15"/>
      <c r="FP208" s="15"/>
      <c r="FQ208" s="15"/>
      <c r="FR208" s="15"/>
      <c r="FS208" s="15"/>
      <c r="FT208" s="15"/>
      <c r="FU208" s="15"/>
      <c r="FV208" s="15"/>
      <c r="FW208" s="15"/>
      <c r="FX208" s="15"/>
      <c r="FY208" s="15"/>
      <c r="FZ208" s="15"/>
      <c r="GA208" s="15"/>
      <c r="GB208" s="15"/>
      <c r="GC208" s="15"/>
      <c r="GD208" s="15"/>
      <c r="GE208" s="15"/>
      <c r="GF208" s="15"/>
      <c r="GG208" s="15"/>
      <c r="GH208" s="15"/>
      <c r="GI208" s="15"/>
      <c r="GJ208" s="15"/>
      <c r="GK208" s="15"/>
      <c r="GL208" s="15"/>
      <c r="GM208" s="15"/>
      <c r="GN208" s="15"/>
      <c r="GO208" s="15"/>
      <c r="GP208" s="15"/>
      <c r="GQ208" s="15"/>
      <c r="GR208" s="15"/>
      <c r="GS208" s="15"/>
      <c r="GT208" s="15"/>
      <c r="GU208" s="15"/>
      <c r="GV208" s="15"/>
      <c r="GW208" s="15"/>
      <c r="GX208" s="15"/>
      <c r="GY208" s="15"/>
      <c r="GZ208" s="15"/>
      <c r="HA208" s="15"/>
      <c r="HB208" s="15"/>
      <c r="HC208" s="15"/>
      <c r="HD208" s="15"/>
      <c r="HE208" s="15"/>
      <c r="HF208" s="15"/>
      <c r="HG208" s="15"/>
      <c r="HH208" s="15"/>
      <c r="HI208" s="15"/>
      <c r="HJ208" s="15"/>
      <c r="HK208" s="15"/>
      <c r="HL208" s="15"/>
      <c r="HM208" s="15"/>
      <c r="HN208" s="15"/>
      <c r="HO208" s="15"/>
      <c r="HP208" s="15"/>
      <c r="HQ208" s="15"/>
      <c r="HR208" s="15"/>
      <c r="HS208" s="15"/>
      <c r="HT208" s="15"/>
      <c r="HU208" s="15"/>
      <c r="HV208" s="15"/>
      <c r="HW208" s="15"/>
      <c r="HX208" s="15"/>
      <c r="HY208" s="15"/>
      <c r="HZ208" s="15"/>
      <c r="IA208" s="15"/>
      <c r="IB208" s="15"/>
      <c r="IC208" s="15"/>
      <c r="ID208" s="15"/>
      <c r="IE208" s="15"/>
      <c r="IF208" s="15"/>
      <c r="IG208" s="15"/>
      <c r="IH208" s="15"/>
      <c r="II208" s="15"/>
      <c r="IJ208" s="15"/>
      <c r="IK208" s="15"/>
      <c r="IL208" s="15"/>
      <c r="IM208" s="15"/>
      <c r="IN208" s="15"/>
      <c r="IO208" s="15"/>
      <c r="IP208" s="15"/>
      <c r="IQ208" s="15"/>
      <c r="IR208" s="15"/>
      <c r="IS208" s="15"/>
      <c r="IT208" s="15"/>
      <c r="IU208" s="15"/>
      <c r="IV208" s="15"/>
      <c r="IW208" s="15"/>
      <c r="IX208" s="15"/>
      <c r="IY208" s="15"/>
      <c r="IZ208" s="15"/>
      <c r="JA208" s="15"/>
      <c r="JB208" s="15"/>
      <c r="JC208" s="15"/>
      <c r="JD208" s="15"/>
      <c r="JE208" s="15"/>
      <c r="JF208" s="15"/>
      <c r="JG208" s="15"/>
      <c r="JH208" s="15"/>
      <c r="JI208" s="15"/>
      <c r="JJ208" s="15"/>
      <c r="JK208" s="15"/>
      <c r="JL208" s="15"/>
      <c r="JM208" s="15"/>
      <c r="JN208" s="15"/>
      <c r="JO208" s="15"/>
      <c r="JP208" s="15"/>
      <c r="JQ208" s="15"/>
      <c r="JR208" s="15"/>
      <c r="JS208" s="15"/>
      <c r="JT208" s="15"/>
      <c r="JU208" s="15"/>
      <c r="JV208" s="15"/>
      <c r="JW208" s="15"/>
      <c r="JX208" s="15"/>
      <c r="JY208" s="15"/>
      <c r="JZ208" s="15"/>
      <c r="KA208" s="15"/>
      <c r="KB208" s="15"/>
      <c r="KC208" s="15"/>
      <c r="KD208" s="15"/>
      <c r="KE208" s="15"/>
      <c r="KF208" s="15"/>
      <c r="KG208" s="15"/>
      <c r="KH208" s="15"/>
      <c r="KI208" s="15"/>
      <c r="KJ208" s="15"/>
      <c r="KK208" s="15"/>
      <c r="KL208" s="15"/>
      <c r="KM208" s="15"/>
      <c r="KN208" s="15"/>
      <c r="KO208" s="15"/>
      <c r="KP208" s="15"/>
      <c r="KQ208" s="15"/>
      <c r="KR208" s="15"/>
      <c r="KS208" s="15"/>
      <c r="KT208" s="15"/>
      <c r="KU208" s="15"/>
      <c r="KV208" s="15"/>
      <c r="KW208" s="15"/>
      <c r="KX208" s="15"/>
      <c r="KY208" s="15"/>
      <c r="KZ208" s="15"/>
      <c r="LA208" s="15"/>
      <c r="LB208" s="15"/>
      <c r="LC208" s="15"/>
      <c r="LD208" s="15"/>
      <c r="LE208" s="15"/>
      <c r="LF208" s="15"/>
      <c r="LG208" s="15"/>
      <c r="LH208" s="15"/>
      <c r="LI208" s="15"/>
      <c r="LJ208" s="15"/>
      <c r="LK208" s="15"/>
      <c r="LL208" s="15"/>
      <c r="LM208" s="15"/>
      <c r="LN208" s="15"/>
      <c r="LO208" s="15"/>
      <c r="LP208" s="15"/>
      <c r="LQ208" s="15"/>
      <c r="LR208" s="15"/>
      <c r="LS208" s="15"/>
      <c r="LT208" s="15"/>
      <c r="LU208" s="15"/>
      <c r="LV208" s="15"/>
      <c r="NW208" s="15"/>
      <c r="NX208" s="15"/>
    </row>
    <row r="209" spans="4:388">
      <c r="D209" s="15"/>
      <c r="E209" s="15"/>
      <c r="F209" s="15"/>
      <c r="CE209" s="353"/>
      <c r="CF209" s="353"/>
      <c r="CG209" s="353"/>
      <c r="CH209" s="353"/>
      <c r="CI209" s="353"/>
      <c r="CJ209" s="353"/>
      <c r="CK209" s="353"/>
      <c r="CL209" s="353"/>
      <c r="CM209" s="353"/>
      <c r="CN209" s="353"/>
      <c r="CO209" s="353"/>
      <c r="EG209" s="15"/>
      <c r="EH209" s="15"/>
      <c r="EI209" s="15"/>
      <c r="EJ209" s="15"/>
      <c r="EK209" s="15"/>
      <c r="EL209" s="15"/>
      <c r="EM209" s="15"/>
      <c r="EN209" s="15"/>
      <c r="EO209" s="15"/>
      <c r="EP209" s="15"/>
      <c r="EQ209" s="15"/>
      <c r="ER209" s="15"/>
      <c r="ES209" s="15"/>
      <c r="ET209" s="15"/>
      <c r="EU209" s="15"/>
      <c r="EV209" s="15"/>
      <c r="EW209" s="15"/>
      <c r="EX209" s="15"/>
      <c r="FA209" s="15"/>
      <c r="FB209" s="15"/>
      <c r="FC209" s="15"/>
      <c r="FD209" s="15"/>
      <c r="FE209" s="15"/>
      <c r="FF209" s="15"/>
      <c r="FG209" s="15"/>
      <c r="FH209" s="15"/>
      <c r="FI209" s="15"/>
      <c r="FJ209" s="15"/>
      <c r="FK209" s="15"/>
      <c r="FL209" s="15"/>
      <c r="FM209" s="15"/>
      <c r="FN209" s="15"/>
      <c r="FO209" s="15"/>
      <c r="FP209" s="15"/>
      <c r="FQ209" s="15"/>
      <c r="FR209" s="15"/>
      <c r="FS209" s="15"/>
      <c r="FT209" s="15"/>
      <c r="FU209" s="15"/>
      <c r="FV209" s="15"/>
      <c r="FW209" s="15"/>
      <c r="FX209" s="15"/>
      <c r="FY209" s="15"/>
      <c r="FZ209" s="15"/>
      <c r="GA209" s="15"/>
      <c r="GB209" s="15"/>
      <c r="GC209" s="15"/>
      <c r="GD209" s="15"/>
      <c r="GE209" s="15"/>
      <c r="GF209" s="15"/>
      <c r="GG209" s="15"/>
      <c r="GH209" s="15"/>
      <c r="GI209" s="15"/>
      <c r="GJ209" s="15"/>
      <c r="GK209" s="15"/>
      <c r="GL209" s="15"/>
      <c r="GM209" s="15"/>
      <c r="GN209" s="15"/>
      <c r="GO209" s="15"/>
      <c r="GP209" s="15"/>
      <c r="GQ209" s="15"/>
      <c r="GR209" s="15"/>
      <c r="GS209" s="15"/>
      <c r="GT209" s="15"/>
      <c r="GU209" s="15"/>
      <c r="GV209" s="15"/>
      <c r="GW209" s="15"/>
      <c r="GX209" s="15"/>
      <c r="GY209" s="15"/>
      <c r="GZ209" s="15"/>
      <c r="HA209" s="15"/>
      <c r="HB209" s="15"/>
      <c r="HC209" s="15"/>
      <c r="HD209" s="15"/>
      <c r="HE209" s="15"/>
      <c r="HF209" s="15"/>
      <c r="HG209" s="15"/>
      <c r="HH209" s="15"/>
      <c r="HI209" s="15"/>
      <c r="HJ209" s="15"/>
      <c r="HK209" s="15"/>
      <c r="HL209" s="15"/>
      <c r="HM209" s="15"/>
      <c r="HN209" s="15"/>
      <c r="HO209" s="15"/>
      <c r="HP209" s="15"/>
      <c r="HQ209" s="15"/>
      <c r="HR209" s="15"/>
      <c r="HS209" s="15"/>
      <c r="HT209" s="15"/>
      <c r="HU209" s="15"/>
      <c r="HV209" s="15"/>
      <c r="HW209" s="15"/>
      <c r="HX209" s="15"/>
      <c r="HY209" s="15"/>
      <c r="HZ209" s="15"/>
      <c r="IA209" s="15"/>
      <c r="IB209" s="15"/>
      <c r="IC209" s="15"/>
      <c r="ID209" s="15"/>
      <c r="IE209" s="15"/>
      <c r="IF209" s="15"/>
      <c r="IG209" s="15"/>
      <c r="IH209" s="15"/>
      <c r="II209" s="15"/>
      <c r="IJ209" s="15"/>
      <c r="IK209" s="15"/>
      <c r="IL209" s="15"/>
      <c r="IM209" s="15"/>
      <c r="IN209" s="15"/>
      <c r="IO209" s="15"/>
      <c r="IP209" s="15"/>
      <c r="IQ209" s="15"/>
      <c r="IR209" s="15"/>
      <c r="IS209" s="15"/>
      <c r="IT209" s="15"/>
      <c r="IU209" s="15"/>
      <c r="IV209" s="15"/>
      <c r="IW209" s="15"/>
      <c r="IX209" s="15"/>
      <c r="IY209" s="15"/>
      <c r="IZ209" s="15"/>
      <c r="JA209" s="15"/>
      <c r="JB209" s="15"/>
      <c r="JC209" s="15"/>
      <c r="JD209" s="15"/>
      <c r="JE209" s="15"/>
      <c r="JF209" s="15"/>
      <c r="JG209" s="15"/>
      <c r="JH209" s="15"/>
      <c r="JI209" s="15"/>
      <c r="JJ209" s="15"/>
      <c r="JK209" s="15"/>
      <c r="JL209" s="15"/>
      <c r="JM209" s="15"/>
      <c r="JN209" s="15"/>
      <c r="JO209" s="15"/>
      <c r="JP209" s="15"/>
      <c r="JQ209" s="15"/>
      <c r="JR209" s="15"/>
      <c r="JS209" s="15"/>
      <c r="JT209" s="15"/>
      <c r="JU209" s="15"/>
      <c r="JV209" s="15"/>
      <c r="JW209" s="15"/>
      <c r="JX209" s="15"/>
      <c r="JY209" s="15"/>
      <c r="JZ209" s="15"/>
      <c r="KA209" s="15"/>
      <c r="KB209" s="15"/>
      <c r="KC209" s="15"/>
      <c r="KD209" s="15"/>
      <c r="KE209" s="15"/>
      <c r="KF209" s="15"/>
      <c r="KG209" s="15"/>
      <c r="KH209" s="15"/>
      <c r="KI209" s="15"/>
      <c r="KJ209" s="15"/>
      <c r="KK209" s="15"/>
      <c r="KL209" s="15"/>
      <c r="KM209" s="15"/>
      <c r="KN209" s="15"/>
      <c r="KO209" s="15"/>
      <c r="KP209" s="15"/>
      <c r="KQ209" s="15"/>
      <c r="KR209" s="15"/>
      <c r="KS209" s="15"/>
      <c r="KT209" s="15"/>
      <c r="KU209" s="15"/>
      <c r="KV209" s="15"/>
      <c r="KW209" s="15"/>
      <c r="KX209" s="15"/>
      <c r="KY209" s="15"/>
      <c r="KZ209" s="15"/>
      <c r="LA209" s="15"/>
      <c r="LB209" s="15"/>
      <c r="LC209" s="15"/>
      <c r="LD209" s="15"/>
      <c r="LE209" s="15"/>
      <c r="LF209" s="15"/>
      <c r="LG209" s="15"/>
      <c r="LH209" s="15"/>
      <c r="LI209" s="15"/>
      <c r="LJ209" s="15"/>
      <c r="LK209" s="15"/>
      <c r="LL209" s="15"/>
      <c r="LM209" s="15"/>
      <c r="LN209" s="15"/>
      <c r="LO209" s="15"/>
      <c r="LP209" s="15"/>
      <c r="LQ209" s="15"/>
      <c r="LR209" s="15"/>
      <c r="LS209" s="15"/>
      <c r="LT209" s="15"/>
      <c r="LU209" s="15"/>
      <c r="LV209" s="15"/>
      <c r="NW209" s="15"/>
      <c r="NX209" s="15"/>
    </row>
  </sheetData>
  <customSheetViews>
    <customSheetView guid="{08C15DDF-888A-4EA7-BBDA-6FF36DAC46FE}" showGridLines="0" hiddenRows="1" hiddenColumns="1">
      <pane xSplit="2" ySplit="8" topLeftCell="C9" activePane="bottomRight" state="frozenSplit"/>
      <selection pane="bottomRight" activeCell="Q11" sqref="Q11"/>
      <colBreaks count="1" manualBreakCount="1">
        <brk id="41" min="1" max="111" man="1"/>
      </colBreaks>
      <pageMargins left="0.3" right="0" top="0.1" bottom="0" header="0.4" footer="0.25"/>
      <printOptions horizontalCentered="1" verticalCentered="1"/>
      <pageSetup scale="60" fitToWidth="2" pageOrder="overThenDown" orientation="portrait" r:id="rId1"/>
      <headerFooter alignWithMargins="0">
        <oddFooter xml:space="preserve">&amp;L&amp;8Originator: Sales Operations - Vehicle Programming
&amp;F&amp;C&amp;"Arial,Bold"&amp;12&amp;UFORD MOTOR COMPANY PROPRIETARY&amp;"Arial,Regular"&amp;8&amp;U
Page &amp;P of &amp;N
</oddFooter>
      </headerFooter>
    </customSheetView>
    <customSheetView guid="{9B688151-B216-4D15-BAF0-B3C14436A635}" showGridLines="0" hiddenRows="1" hiddenColumns="1">
      <pane xSplit="2" ySplit="8" topLeftCell="C9" activePane="bottomRight" state="frozenSplit"/>
      <selection pane="bottomRight" activeCell="V27" sqref="V27"/>
      <colBreaks count="1" manualBreakCount="1">
        <brk id="41" min="1" max="111" man="1"/>
      </colBreaks>
      <pageMargins left="0.3" right="0" top="0.1" bottom="0" header="0.4" footer="0.25"/>
      <printOptions horizontalCentered="1" verticalCentered="1"/>
      <pageSetup scale="60" fitToWidth="2" pageOrder="overThenDown" orientation="portrait" r:id="rId2"/>
      <headerFooter alignWithMargins="0">
        <oddFooter xml:space="preserve">&amp;L&amp;8Originator: Sales Operations - Vehicle Programming
&amp;F&amp;C&amp;"Arial,Bold"&amp;12&amp;UFORD MOTOR COMPANY PROPRIETARY&amp;"Arial,Regular"&amp;8&amp;U
Page &amp;P of &amp;N
</oddFooter>
      </headerFooter>
    </customSheetView>
  </customSheetViews>
  <mergeCells count="178">
    <mergeCell ref="OG132:OH132"/>
    <mergeCell ref="OA132:OB132"/>
    <mergeCell ref="NA132:NB132"/>
    <mergeCell ref="NW132:NX132"/>
    <mergeCell ref="NU132:NV132"/>
    <mergeCell ref="NS132:NT132"/>
    <mergeCell ref="NQ132:NR132"/>
    <mergeCell ref="NO132:NP132"/>
    <mergeCell ref="NM132:NN132"/>
    <mergeCell ref="NK132:NL132"/>
    <mergeCell ref="NI132:NJ132"/>
    <mergeCell ref="NG132:NH132"/>
    <mergeCell ref="NE132:NF132"/>
    <mergeCell ref="NC132:ND132"/>
    <mergeCell ref="NY132:NZ132"/>
    <mergeCell ref="OC132:OD132"/>
    <mergeCell ref="OE132:OF132"/>
    <mergeCell ref="CZ140:OF141"/>
    <mergeCell ref="CF170:CF172"/>
    <mergeCell ref="CF178:CF179"/>
    <mergeCell ref="FV132:FW132"/>
    <mergeCell ref="FR132:FS132"/>
    <mergeCell ref="FT132:FU132"/>
    <mergeCell ref="FH132:FI132"/>
    <mergeCell ref="CK166:CM166"/>
    <mergeCell ref="CE162:CO165"/>
    <mergeCell ref="CY132:CY134"/>
    <mergeCell ref="CZ132:DA132"/>
    <mergeCell ref="DD132:DE132"/>
    <mergeCell ref="DF132:DG132"/>
    <mergeCell ref="DL132:DM132"/>
    <mergeCell ref="DR132:DS132"/>
    <mergeCell ref="EX132:EY132"/>
    <mergeCell ref="FN132:FO132"/>
    <mergeCell ref="CE178:CE185"/>
    <mergeCell ref="CE167:CE169"/>
    <mergeCell ref="CF168:CF169"/>
    <mergeCell ref="ER132:ES132"/>
    <mergeCell ref="DX132:DY132"/>
    <mergeCell ref="GJ132:GK132"/>
    <mergeCell ref="LP132:LQ132"/>
    <mergeCell ref="CE194:CO206"/>
    <mergeCell ref="CF175:CF177"/>
    <mergeCell ref="CF189:CF190"/>
    <mergeCell ref="EP132:EQ132"/>
    <mergeCell ref="DJ132:DK132"/>
    <mergeCell ref="DN132:DO132"/>
    <mergeCell ref="FF132:FG132"/>
    <mergeCell ref="DP132:DQ132"/>
    <mergeCell ref="EH132:EI132"/>
    <mergeCell ref="DT132:DU132"/>
    <mergeCell ref="ED132:EE132"/>
    <mergeCell ref="DZ132:EA132"/>
    <mergeCell ref="EB132:EC132"/>
    <mergeCell ref="FD132:FE132"/>
    <mergeCell ref="EZ132:FA132"/>
    <mergeCell ref="CE170:CE177"/>
    <mergeCell ref="CE186:CE193"/>
    <mergeCell ref="DH132:DI132"/>
    <mergeCell ref="CF191:CF193"/>
    <mergeCell ref="CF180:CF181"/>
    <mergeCell ref="CF182:CF185"/>
    <mergeCell ref="DV132:DW132"/>
    <mergeCell ref="CF186:CF187"/>
    <mergeCell ref="CF173:CF174"/>
    <mergeCell ref="IL132:IM132"/>
    <mergeCell ref="LJ132:LK132"/>
    <mergeCell ref="KT132:KU132"/>
    <mergeCell ref="LL132:LM132"/>
    <mergeCell ref="LN132:LO132"/>
    <mergeCell ref="HZ132:IA132"/>
    <mergeCell ref="HV132:HW132"/>
    <mergeCell ref="KF132:KG132"/>
    <mergeCell ref="JT132:JU132"/>
    <mergeCell ref="KX132:KY132"/>
    <mergeCell ref="JV132:JW132"/>
    <mergeCell ref="JP132:JQ132"/>
    <mergeCell ref="KL132:KM132"/>
    <mergeCell ref="GH132:GI132"/>
    <mergeCell ref="CY131:NW131"/>
    <mergeCell ref="MH132:MI132"/>
    <mergeCell ref="MF132:MG132"/>
    <mergeCell ref="LD132:LE132"/>
    <mergeCell ref="KN132:KO132"/>
    <mergeCell ref="EN132:EO132"/>
    <mergeCell ref="EL132:EM132"/>
    <mergeCell ref="LB132:LC132"/>
    <mergeCell ref="KZ132:LA132"/>
    <mergeCell ref="ET132:EU132"/>
    <mergeCell ref="JL132:JM132"/>
    <mergeCell ref="IP132:IQ132"/>
    <mergeCell ref="IB132:IC132"/>
    <mergeCell ref="GN132:GO132"/>
    <mergeCell ref="GL132:GM132"/>
    <mergeCell ref="GR132:GS132"/>
    <mergeCell ref="GF132:GG132"/>
    <mergeCell ref="GP132:GQ132"/>
    <mergeCell ref="KB132:KC132"/>
    <mergeCell ref="JR132:JS132"/>
    <mergeCell ref="GZ132:HA132"/>
    <mergeCell ref="LR132:LS132"/>
    <mergeCell ref="HH132:HI132"/>
    <mergeCell ref="FP132:FQ132"/>
    <mergeCell ref="FJ132:FK132"/>
    <mergeCell ref="GB132:GC132"/>
    <mergeCell ref="KH132:KI132"/>
    <mergeCell ref="IR132:IS132"/>
    <mergeCell ref="HF132:HG132"/>
    <mergeCell ref="GX132:GY132"/>
    <mergeCell ref="EJ132:EK132"/>
    <mergeCell ref="FX132:FY132"/>
    <mergeCell ref="FZ132:GA132"/>
    <mergeCell ref="GD132:GE132"/>
    <mergeCell ref="IH132:II132"/>
    <mergeCell ref="IT132:IU132"/>
    <mergeCell ref="JX132:JY132"/>
    <mergeCell ref="HN132:HO132"/>
    <mergeCell ref="HP132:HQ132"/>
    <mergeCell ref="HB132:HC132"/>
    <mergeCell ref="ID132:IE132"/>
    <mergeCell ref="HL132:HM132"/>
    <mergeCell ref="HR132:HS132"/>
    <mergeCell ref="HJ132:HK132"/>
    <mergeCell ref="HT132:HU132"/>
    <mergeCell ref="JB132:JC132"/>
    <mergeCell ref="HD132:HE132"/>
    <mergeCell ref="EF132:EG132"/>
    <mergeCell ref="FL132:FM132"/>
    <mergeCell ref="B2:AO2"/>
    <mergeCell ref="AS2:BW2"/>
    <mergeCell ref="A116:AO116"/>
    <mergeCell ref="AP5:AT5"/>
    <mergeCell ref="D4:L4"/>
    <mergeCell ref="D5:L5"/>
    <mergeCell ref="CH66:CP66"/>
    <mergeCell ref="CG77:CK77"/>
    <mergeCell ref="AE84:AN88"/>
    <mergeCell ref="AE89:AN90"/>
    <mergeCell ref="M5:AO5"/>
    <mergeCell ref="DB132:DC132"/>
    <mergeCell ref="FB132:FC132"/>
    <mergeCell ref="GV132:GW132"/>
    <mergeCell ref="EV132:EW132"/>
    <mergeCell ref="ML132:MM132"/>
    <mergeCell ref="MJ132:MK132"/>
    <mergeCell ref="HX132:HY132"/>
    <mergeCell ref="JZ132:KA132"/>
    <mergeCell ref="IX132:IY132"/>
    <mergeCell ref="JH132:JI132"/>
    <mergeCell ref="IV132:IW132"/>
    <mergeCell ref="JF132:JG132"/>
    <mergeCell ref="JD132:JE132"/>
    <mergeCell ref="IZ132:JA132"/>
    <mergeCell ref="IN132:IO132"/>
    <mergeCell ref="GT132:GU132"/>
    <mergeCell ref="KJ132:KK132"/>
    <mergeCell ref="JN132:JO132"/>
    <mergeCell ref="JJ132:JK132"/>
    <mergeCell ref="KD132:KE132"/>
    <mergeCell ref="IJ132:IK132"/>
    <mergeCell ref="IF132:IG132"/>
    <mergeCell ref="LX132:LY132"/>
    <mergeCell ref="MD132:ME132"/>
    <mergeCell ref="KR132:KS132"/>
    <mergeCell ref="KV132:KW132"/>
    <mergeCell ref="MX132:MY132"/>
    <mergeCell ref="MT132:MU132"/>
    <mergeCell ref="MN132:MO132"/>
    <mergeCell ref="MV132:MW132"/>
    <mergeCell ref="MR132:MS132"/>
    <mergeCell ref="LH132:LI132"/>
    <mergeCell ref="LV132:LW132"/>
    <mergeCell ref="KP132:KQ132"/>
    <mergeCell ref="LF132:LG132"/>
    <mergeCell ref="LZ132:MA132"/>
    <mergeCell ref="MP132:MQ132"/>
    <mergeCell ref="MB132:MC132"/>
    <mergeCell ref="LT132:LU132"/>
  </mergeCells>
  <phoneticPr fontId="12" type="noConversion"/>
  <conditionalFormatting sqref="D49:W49">
    <cfRule type="cellIs" dxfId="0" priority="1" operator="equal">
      <formula>"VAC"</formula>
    </cfRule>
  </conditionalFormatting>
  <printOptions horizontalCentered="1" verticalCentered="1"/>
  <pageMargins left="0.3" right="0" top="0.1" bottom="0" header="0.4" footer="0.25"/>
  <pageSetup scale="59" fitToWidth="2" pageOrder="overThenDown" orientation="portrait" r:id="rId3"/>
  <headerFooter alignWithMargins="0">
    <oddFooter xml:space="preserve">&amp;L&amp;8Originator: Sales Operations - Vehicle Programming
&amp;Z&amp;F&amp;C&amp;"Arial,Bold"&amp;12&amp;UFORD MOTOR COMPANY PROPRIETARY&amp;"Arial,Regular"&amp;8&amp;U
Page &amp;P of &amp;N
</oddFooter>
  </headerFooter>
  <colBreaks count="1" manualBreakCount="1">
    <brk id="41" max="1048575" man="1"/>
  </colBreaks>
  <drawing r:id="rId4"/>
  <legacy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9"/>
  <sheetViews>
    <sheetView workbookViewId="0"/>
  </sheetViews>
  <sheetFormatPr defaultRowHeight="12.5"/>
  <cols>
    <col min="1" max="9" width="5.7265625" customWidth="1"/>
  </cols>
  <sheetData>
    <row r="1" spans="1:11" s="10" customFormat="1" ht="16" customHeight="1">
      <c r="A1" s="7" t="s">
        <v>49</v>
      </c>
      <c r="B1" s="8"/>
      <c r="C1" s="8"/>
      <c r="D1" s="8"/>
      <c r="E1" s="8"/>
      <c r="F1" s="8"/>
      <c r="G1" s="8"/>
      <c r="H1" s="8"/>
      <c r="I1" s="8"/>
      <c r="J1" s="8"/>
      <c r="K1" s="8"/>
    </row>
    <row r="2" spans="1:11" s="10" customFormat="1" ht="16" customHeight="1">
      <c r="A2" s="7" t="s">
        <v>28</v>
      </c>
      <c r="B2" s="6"/>
      <c r="C2" s="8"/>
      <c r="D2" s="8"/>
      <c r="E2" s="8"/>
      <c r="F2" s="8"/>
      <c r="G2" s="8"/>
      <c r="H2" s="8"/>
      <c r="I2" s="8"/>
      <c r="J2" s="8"/>
      <c r="K2" s="8"/>
    </row>
    <row r="3" spans="1:11" s="10" customFormat="1" ht="16" customHeight="1">
      <c r="A3" s="7" t="s">
        <v>29</v>
      </c>
      <c r="B3" s="6"/>
      <c r="C3" s="8"/>
      <c r="D3" s="8"/>
      <c r="E3" s="8"/>
      <c r="F3" s="8"/>
      <c r="G3" s="8"/>
      <c r="H3" s="8"/>
      <c r="I3" s="8"/>
      <c r="J3" s="8"/>
      <c r="K3" s="8"/>
    </row>
    <row r="4" spans="1:11" s="10" customFormat="1" ht="16" customHeight="1">
      <c r="A4" s="7" t="s">
        <v>30</v>
      </c>
      <c r="B4" s="8"/>
      <c r="C4" s="8"/>
      <c r="D4" s="8"/>
      <c r="E4" s="8"/>
      <c r="F4" s="8"/>
      <c r="G4" s="8"/>
      <c r="H4" s="8"/>
      <c r="I4" s="8"/>
      <c r="J4" s="8"/>
      <c r="K4" s="8"/>
    </row>
    <row r="5" spans="1:11" s="10" customFormat="1" ht="16" customHeight="1">
      <c r="A5" s="7" t="s">
        <v>31</v>
      </c>
      <c r="B5" s="6"/>
      <c r="C5" s="8"/>
      <c r="D5" s="8"/>
      <c r="E5" s="8"/>
      <c r="F5" s="8"/>
      <c r="G5" s="8"/>
      <c r="H5" s="8"/>
      <c r="I5" s="8"/>
      <c r="J5" s="8"/>
      <c r="K5" s="8"/>
    </row>
    <row r="6" spans="1:11" s="10" customFormat="1" ht="16" customHeight="1">
      <c r="A6" s="7" t="s">
        <v>32</v>
      </c>
      <c r="B6" s="8"/>
      <c r="C6" s="6"/>
      <c r="D6" s="8"/>
      <c r="E6" s="8"/>
      <c r="F6" s="8"/>
      <c r="G6" s="8"/>
      <c r="H6" s="8"/>
      <c r="I6" s="8"/>
      <c r="J6" s="8"/>
      <c r="K6" s="8"/>
    </row>
    <row r="7" spans="1:11" s="10" customFormat="1" ht="13">
      <c r="A7" s="8"/>
      <c r="B7" s="5" t="s">
        <v>27</v>
      </c>
      <c r="C7" s="7" t="s">
        <v>33</v>
      </c>
      <c r="D7" s="8"/>
      <c r="E7" s="8"/>
      <c r="F7" s="8"/>
      <c r="G7" s="8"/>
      <c r="H7" s="8"/>
      <c r="I7" s="8"/>
      <c r="J7" s="8"/>
      <c r="K7" s="8"/>
    </row>
    <row r="8" spans="1:11" s="10" customFormat="1" ht="13">
      <c r="A8" s="8"/>
      <c r="B8" s="5" t="s">
        <v>27</v>
      </c>
      <c r="C8" s="7" t="s">
        <v>34</v>
      </c>
      <c r="D8" s="8"/>
      <c r="E8" s="8"/>
      <c r="F8" s="8"/>
      <c r="G8" s="8"/>
      <c r="H8" s="8"/>
      <c r="I8" s="8"/>
      <c r="J8" s="8"/>
      <c r="K8" s="8"/>
    </row>
    <row r="9" spans="1:11" s="10" customFormat="1" ht="16" customHeight="1">
      <c r="A9" s="7" t="s">
        <v>35</v>
      </c>
      <c r="B9" s="7"/>
      <c r="C9" s="8"/>
      <c r="D9" s="8"/>
      <c r="E9" s="8"/>
      <c r="F9" s="8"/>
      <c r="G9" s="8"/>
      <c r="H9" s="8"/>
      <c r="I9" s="8"/>
      <c r="J9" s="8"/>
      <c r="K9" s="8"/>
    </row>
    <row r="10" spans="1:11" s="10" customFormat="1" ht="13">
      <c r="A10" s="8"/>
      <c r="B10" s="5" t="s">
        <v>27</v>
      </c>
      <c r="C10" s="9" t="s">
        <v>36</v>
      </c>
      <c r="D10" s="8"/>
      <c r="E10" s="8"/>
      <c r="F10" s="8"/>
      <c r="G10" s="8"/>
      <c r="H10" s="8"/>
      <c r="I10" s="8"/>
      <c r="J10" s="8"/>
      <c r="K10" s="8"/>
    </row>
    <row r="11" spans="1:11" s="10" customFormat="1" ht="13">
      <c r="A11" s="8"/>
      <c r="B11" s="5" t="s">
        <v>27</v>
      </c>
      <c r="C11" s="7" t="s">
        <v>37</v>
      </c>
      <c r="D11" s="8"/>
      <c r="E11" s="8"/>
      <c r="F11" s="8"/>
      <c r="G11" s="8"/>
      <c r="H11" s="8"/>
      <c r="I11" s="8"/>
      <c r="J11" s="8"/>
      <c r="K11" s="8"/>
    </row>
    <row r="12" spans="1:11" s="10" customFormat="1" ht="13">
      <c r="A12" s="8"/>
      <c r="B12" s="5" t="s">
        <v>27</v>
      </c>
      <c r="C12" s="7" t="s">
        <v>38</v>
      </c>
      <c r="D12" s="7"/>
      <c r="E12" s="8"/>
      <c r="F12" s="8"/>
      <c r="G12" s="8"/>
      <c r="H12" s="8"/>
      <c r="I12" s="8"/>
      <c r="J12" s="8"/>
      <c r="K12" s="8"/>
    </row>
    <row r="13" spans="1:11" s="10" customFormat="1" ht="16" customHeight="1">
      <c r="A13" s="7" t="s">
        <v>39</v>
      </c>
      <c r="B13" s="8"/>
      <c r="C13" s="8"/>
      <c r="D13" s="7"/>
      <c r="E13" s="8"/>
      <c r="F13" s="8"/>
      <c r="G13" s="8"/>
      <c r="H13" s="8"/>
      <c r="I13" s="8"/>
      <c r="J13" s="8"/>
      <c r="K13" s="8"/>
    </row>
    <row r="14" spans="1:11" s="10" customFormat="1" ht="16" customHeight="1">
      <c r="A14" s="7"/>
      <c r="B14" s="8"/>
      <c r="C14" s="8"/>
      <c r="D14" s="7"/>
      <c r="E14" s="8"/>
      <c r="F14" s="8"/>
      <c r="G14" s="8"/>
      <c r="H14" s="8"/>
      <c r="I14" s="8"/>
      <c r="J14" s="8"/>
      <c r="K14" s="8"/>
    </row>
    <row r="15" spans="1:11" s="10" customFormat="1" ht="13">
      <c r="A15" s="8"/>
      <c r="B15" s="8"/>
      <c r="C15" s="8"/>
      <c r="D15" s="7"/>
      <c r="E15" s="8"/>
      <c r="F15" s="8"/>
      <c r="G15" s="8"/>
      <c r="H15" s="8"/>
      <c r="I15" s="8"/>
      <c r="J15" s="8"/>
      <c r="K15" s="8"/>
    </row>
    <row r="16" spans="1:11" s="10" customFormat="1" ht="13">
      <c r="A16" s="7"/>
      <c r="B16" s="8"/>
      <c r="C16" s="8"/>
      <c r="D16" s="8"/>
      <c r="E16" s="8"/>
      <c r="F16" s="8"/>
      <c r="G16" s="8"/>
      <c r="H16" s="8"/>
      <c r="I16" s="8"/>
      <c r="J16" s="8"/>
      <c r="K16" s="8"/>
    </row>
    <row r="17" spans="1:11" s="10" customFormat="1" ht="13">
      <c r="A17" s="7"/>
      <c r="B17" s="8"/>
      <c r="C17" s="8"/>
      <c r="D17" s="8"/>
      <c r="E17" s="8"/>
      <c r="F17" s="8"/>
      <c r="G17" s="8"/>
      <c r="H17" s="8"/>
      <c r="I17" s="8"/>
      <c r="J17" s="8"/>
      <c r="K17" s="8"/>
    </row>
    <row r="18" spans="1:11" s="10" customFormat="1" ht="13">
      <c r="A18" s="8"/>
      <c r="B18" s="7"/>
      <c r="C18" s="8"/>
      <c r="D18" s="8"/>
      <c r="E18" s="8"/>
      <c r="F18" s="8"/>
      <c r="G18" s="8"/>
      <c r="H18" s="8"/>
      <c r="I18" s="8"/>
      <c r="J18" s="8"/>
      <c r="K18" s="8"/>
    </row>
    <row r="19" spans="1:11" s="10" customFormat="1" ht="13">
      <c r="A19" s="8"/>
      <c r="B19" s="7"/>
      <c r="C19" s="8"/>
      <c r="D19" s="8"/>
      <c r="E19" s="8"/>
      <c r="F19" s="8"/>
      <c r="G19" s="8"/>
      <c r="H19" s="8"/>
      <c r="I19" s="8"/>
      <c r="J19" s="8"/>
      <c r="K19" s="8"/>
    </row>
    <row r="20" spans="1:11" s="10" customFormat="1" ht="13">
      <c r="A20" s="8"/>
      <c r="B20" s="7"/>
      <c r="C20" s="8"/>
      <c r="D20" s="8"/>
      <c r="E20" s="8"/>
      <c r="F20" s="8"/>
      <c r="G20" s="8"/>
      <c r="H20" s="8"/>
      <c r="I20" s="8"/>
      <c r="J20" s="8"/>
      <c r="K20" s="8"/>
    </row>
    <row r="21" spans="1:11" s="10" customFormat="1">
      <c r="A21" s="8"/>
      <c r="B21" s="8"/>
      <c r="C21" s="8"/>
      <c r="D21" s="8"/>
      <c r="E21" s="8"/>
      <c r="F21" s="8"/>
      <c r="G21" s="8"/>
      <c r="H21" s="8"/>
      <c r="I21" s="8"/>
      <c r="J21" s="8"/>
      <c r="K21" s="8"/>
    </row>
    <row r="22" spans="1:11" s="10" customFormat="1" ht="13">
      <c r="A22" s="7"/>
      <c r="B22" s="8"/>
      <c r="C22" s="8"/>
      <c r="D22" s="8"/>
      <c r="E22" s="8"/>
      <c r="F22" s="8"/>
      <c r="G22" s="8"/>
      <c r="H22" s="8"/>
      <c r="I22" s="8"/>
      <c r="J22" s="8"/>
      <c r="K22" s="8"/>
    </row>
    <row r="23" spans="1:11" s="10" customFormat="1" ht="13">
      <c r="A23" s="8"/>
      <c r="B23" s="7"/>
      <c r="C23" s="8"/>
      <c r="D23" s="8"/>
      <c r="E23" s="8"/>
      <c r="F23" s="8"/>
      <c r="G23" s="8"/>
      <c r="H23" s="8"/>
      <c r="I23" s="8"/>
      <c r="J23" s="8"/>
      <c r="K23" s="8"/>
    </row>
    <row r="24" spans="1:11" s="10" customFormat="1">
      <c r="A24" s="8"/>
      <c r="B24" s="8"/>
      <c r="C24" s="8"/>
      <c r="D24" s="8"/>
      <c r="E24" s="8"/>
      <c r="F24" s="8"/>
      <c r="G24" s="8"/>
      <c r="H24" s="8"/>
      <c r="I24" s="8"/>
      <c r="J24" s="8"/>
      <c r="K24" s="8"/>
    </row>
    <row r="25" spans="1:11" s="10" customFormat="1" ht="13">
      <c r="A25" s="7"/>
      <c r="B25" s="8"/>
      <c r="C25" s="8"/>
      <c r="D25" s="8"/>
      <c r="E25" s="8"/>
      <c r="F25" s="8"/>
      <c r="G25" s="8"/>
      <c r="H25" s="8"/>
      <c r="I25" s="8"/>
      <c r="J25" s="8"/>
      <c r="K25" s="8"/>
    </row>
    <row r="26" spans="1:11" s="10" customFormat="1">
      <c r="A26" s="8"/>
      <c r="B26" s="8"/>
      <c r="C26" s="8"/>
      <c r="D26" s="8"/>
      <c r="E26" s="8"/>
      <c r="F26" s="8"/>
      <c r="G26" s="8"/>
      <c r="H26" s="8"/>
      <c r="I26" s="8"/>
      <c r="J26" s="8"/>
      <c r="K26" s="8"/>
    </row>
    <row r="27" spans="1:11" s="10" customFormat="1">
      <c r="A27" s="8"/>
      <c r="B27" s="8"/>
      <c r="C27" s="8"/>
      <c r="D27" s="8"/>
      <c r="E27" s="8"/>
      <c r="F27" s="8"/>
      <c r="G27" s="8"/>
      <c r="H27" s="8"/>
      <c r="I27" s="8"/>
      <c r="J27" s="8"/>
      <c r="K27" s="8"/>
    </row>
    <row r="28" spans="1:11" s="10" customFormat="1">
      <c r="A28" s="8"/>
      <c r="B28" s="8"/>
      <c r="C28" s="8"/>
      <c r="D28" s="8"/>
      <c r="E28" s="8"/>
      <c r="F28" s="8"/>
      <c r="G28" s="8"/>
      <c r="H28" s="8"/>
      <c r="I28" s="8"/>
      <c r="J28" s="8"/>
      <c r="K28" s="8"/>
    </row>
    <row r="29" spans="1:11" s="10" customFormat="1">
      <c r="A29" s="8"/>
      <c r="B29" s="8"/>
      <c r="C29" s="8"/>
      <c r="D29" s="8"/>
      <c r="E29" s="8"/>
      <c r="F29" s="8"/>
      <c r="G29" s="8"/>
      <c r="H29" s="8"/>
      <c r="I29" s="8"/>
      <c r="J29" s="8"/>
      <c r="K29" s="8"/>
    </row>
    <row r="30" spans="1:11" s="10" customFormat="1">
      <c r="A30" s="8"/>
      <c r="B30" s="8"/>
      <c r="C30" s="8"/>
      <c r="D30" s="8"/>
      <c r="E30" s="8"/>
      <c r="F30" s="8"/>
      <c r="G30" s="8"/>
      <c r="H30" s="8"/>
      <c r="I30" s="8"/>
      <c r="J30" s="8"/>
      <c r="K30" s="8"/>
    </row>
    <row r="31" spans="1:11">
      <c r="A31" s="8"/>
      <c r="B31" s="8"/>
      <c r="C31" s="8"/>
      <c r="D31" s="8"/>
      <c r="E31" s="8"/>
      <c r="F31" s="1"/>
      <c r="G31" s="1"/>
      <c r="H31" s="1"/>
      <c r="I31" s="1"/>
      <c r="J31" s="1"/>
      <c r="K31" s="1"/>
    </row>
    <row r="32" spans="1:11">
      <c r="A32" s="8"/>
      <c r="B32" s="8"/>
      <c r="C32" s="8"/>
      <c r="D32" s="8"/>
      <c r="E32" s="8"/>
      <c r="F32" s="1"/>
      <c r="G32" s="1"/>
      <c r="H32" s="1"/>
      <c r="I32" s="1"/>
      <c r="J32" s="1"/>
      <c r="K32" s="1"/>
    </row>
    <row r="33" spans="1:11">
      <c r="A33" s="8"/>
      <c r="B33" s="8"/>
      <c r="C33" s="8"/>
      <c r="D33" s="8"/>
      <c r="E33" s="8"/>
      <c r="F33" s="1"/>
      <c r="G33" s="1"/>
      <c r="H33" s="1"/>
      <c r="I33" s="1"/>
      <c r="J33" s="1"/>
      <c r="K33" s="1"/>
    </row>
    <row r="34" spans="1:11">
      <c r="A34" s="8"/>
      <c r="B34" s="8"/>
      <c r="C34" s="8"/>
      <c r="D34" s="8"/>
      <c r="E34" s="8"/>
      <c r="F34" s="1"/>
      <c r="G34" s="1"/>
      <c r="H34" s="1"/>
      <c r="I34" s="1"/>
      <c r="J34" s="1"/>
      <c r="K34" s="1"/>
    </row>
    <row r="35" spans="1:11">
      <c r="A35" s="8"/>
      <c r="B35" s="8"/>
      <c r="C35" s="8"/>
      <c r="D35" s="8"/>
      <c r="E35" s="8"/>
      <c r="F35" s="1"/>
      <c r="G35" s="1"/>
      <c r="H35" s="1"/>
      <c r="I35" s="1"/>
      <c r="J35" s="1"/>
      <c r="K35" s="1"/>
    </row>
    <row r="36" spans="1:11">
      <c r="A36" s="8"/>
      <c r="B36" s="8"/>
      <c r="C36" s="8"/>
      <c r="D36" s="8"/>
      <c r="E36" s="8"/>
      <c r="F36" s="1"/>
      <c r="G36" s="1"/>
      <c r="H36" s="1"/>
      <c r="I36" s="1"/>
      <c r="J36" s="1"/>
      <c r="K36" s="1"/>
    </row>
    <row r="37" spans="1:11">
      <c r="A37" s="8"/>
      <c r="B37" s="8"/>
      <c r="C37" s="8"/>
      <c r="D37" s="8"/>
      <c r="E37" s="8"/>
      <c r="F37" s="1"/>
      <c r="G37" s="1"/>
      <c r="H37" s="1"/>
      <c r="I37" s="1"/>
      <c r="J37" s="1"/>
      <c r="K37" s="1"/>
    </row>
    <row r="38" spans="1:11">
      <c r="A38" s="8"/>
      <c r="B38" s="8"/>
      <c r="C38" s="8"/>
      <c r="D38" s="8"/>
      <c r="E38" s="8"/>
      <c r="F38" s="1"/>
      <c r="G38" s="1"/>
      <c r="H38" s="1"/>
      <c r="I38" s="1"/>
      <c r="J38" s="1"/>
      <c r="K38" s="1"/>
    </row>
    <row r="39" spans="1:11">
      <c r="A39" s="8"/>
      <c r="B39" s="8"/>
      <c r="C39" s="8"/>
      <c r="D39" s="8"/>
      <c r="E39" s="8"/>
      <c r="F39" s="1"/>
      <c r="G39" s="1"/>
      <c r="H39" s="1"/>
      <c r="I39" s="1"/>
      <c r="J39" s="1"/>
      <c r="K39" s="1"/>
    </row>
    <row r="40" spans="1:11">
      <c r="A40" s="8"/>
      <c r="B40" s="8"/>
      <c r="C40" s="8"/>
      <c r="D40" s="8"/>
      <c r="E40" s="8"/>
      <c r="F40" s="1"/>
      <c r="G40" s="1"/>
      <c r="H40" s="1"/>
      <c r="I40" s="1"/>
      <c r="J40" s="1"/>
      <c r="K40" s="1"/>
    </row>
    <row r="41" spans="1:11">
      <c r="A41" s="8"/>
      <c r="B41" s="8"/>
      <c r="C41" s="8"/>
      <c r="D41" s="8"/>
      <c r="E41" s="8"/>
      <c r="F41" s="1"/>
      <c r="G41" s="1"/>
      <c r="H41" s="1"/>
      <c r="I41" s="1"/>
      <c r="J41" s="1"/>
      <c r="K41" s="1"/>
    </row>
    <row r="42" spans="1:11">
      <c r="A42" s="1"/>
      <c r="B42" s="1"/>
      <c r="C42" s="1"/>
      <c r="D42" s="1"/>
      <c r="E42" s="1"/>
      <c r="F42" s="1"/>
      <c r="G42" s="1"/>
      <c r="H42" s="1"/>
      <c r="I42" s="1"/>
      <c r="J42" s="1"/>
      <c r="K42" s="1"/>
    </row>
    <row r="43" spans="1:11">
      <c r="A43" s="1"/>
      <c r="B43" s="1"/>
      <c r="C43" s="1"/>
      <c r="D43" s="1"/>
      <c r="E43" s="1"/>
      <c r="F43" s="1"/>
      <c r="G43" s="1"/>
      <c r="H43" s="1"/>
      <c r="I43" s="1"/>
      <c r="J43" s="1"/>
      <c r="K43" s="1"/>
    </row>
    <row r="44" spans="1:11">
      <c r="A44" s="1"/>
      <c r="B44" s="1"/>
      <c r="C44" s="1"/>
      <c r="D44" s="1"/>
      <c r="E44" s="1"/>
      <c r="F44" s="1"/>
      <c r="G44" s="1"/>
      <c r="H44" s="1"/>
      <c r="I44" s="1"/>
      <c r="J44" s="1"/>
      <c r="K44" s="1"/>
    </row>
    <row r="45" spans="1:11">
      <c r="A45" s="1"/>
      <c r="B45" s="1"/>
      <c r="C45" s="1"/>
      <c r="D45" s="1"/>
      <c r="E45" s="1"/>
      <c r="F45" s="1"/>
      <c r="G45" s="1"/>
      <c r="H45" s="1"/>
      <c r="I45" s="1"/>
      <c r="J45" s="1"/>
      <c r="K45" s="1"/>
    </row>
    <row r="46" spans="1:11">
      <c r="A46" s="1"/>
      <c r="B46" s="1"/>
      <c r="C46" s="1"/>
      <c r="D46" s="1"/>
      <c r="E46" s="1"/>
      <c r="F46" s="1"/>
      <c r="G46" s="1"/>
      <c r="H46" s="1"/>
      <c r="I46" s="1"/>
      <c r="J46" s="1"/>
      <c r="K46" s="1"/>
    </row>
    <row r="47" spans="1:11">
      <c r="A47" s="1"/>
      <c r="B47" s="1"/>
      <c r="C47" s="1"/>
      <c r="D47" s="1"/>
      <c r="E47" s="1"/>
      <c r="F47" s="1"/>
      <c r="G47" s="1"/>
      <c r="H47" s="1"/>
      <c r="I47" s="1"/>
      <c r="J47" s="1"/>
      <c r="K47" s="1"/>
    </row>
    <row r="48" spans="1:11">
      <c r="A48" s="1"/>
      <c r="B48" s="1"/>
      <c r="C48" s="1"/>
      <c r="D48" s="1"/>
      <c r="E48" s="1"/>
      <c r="F48" s="1"/>
      <c r="G48" s="1"/>
      <c r="H48" s="1"/>
      <c r="I48" s="1"/>
      <c r="J48" s="1"/>
      <c r="K48" s="1"/>
    </row>
    <row r="49" spans="1:11">
      <c r="A49" s="1"/>
      <c r="B49" s="1"/>
      <c r="C49" s="1"/>
      <c r="D49" s="1"/>
      <c r="E49" s="1"/>
      <c r="F49" s="1"/>
      <c r="G49" s="1"/>
      <c r="H49" s="1"/>
      <c r="I49" s="1"/>
      <c r="J49" s="1"/>
      <c r="K49" s="1"/>
    </row>
  </sheetData>
  <customSheetViews>
    <customSheetView guid="{08C15DDF-888A-4EA7-BBDA-6FF36DAC46FE}" scale="85" showGridLines="0">
      <selection activeCell="V53" sqref="V53"/>
      <pageMargins left="0.5" right="0.5" top="1" bottom="1" header="0.5" footer="0.5"/>
      <pageSetup orientation="portrait" r:id="rId1"/>
      <headerFooter alignWithMargins="0">
        <oddHeader xml:space="preserve">&amp;C&amp;"Arial,Bold"&amp;14&amp;UInstructions: Rolling Tentative Weekly Operating Plan </oddHeader>
        <oddFooter>&amp;L&amp;9k:\&amp;F\&amp;A&amp;R&amp;9&amp;D  &amp;T</oddFooter>
      </headerFooter>
    </customSheetView>
    <customSheetView guid="{9B688151-B216-4D15-BAF0-B3C14436A635}" scale="85" showGridLines="0">
      <selection activeCell="V53" sqref="V53"/>
      <pageMargins left="0.5" right="0.5" top="1" bottom="1" header="0.5" footer="0.5"/>
      <pageSetup orientation="portrait" r:id="rId2"/>
      <headerFooter alignWithMargins="0">
        <oddHeader xml:space="preserve">&amp;C&amp;"Arial,Bold"&amp;14&amp;UInstructions: Rolling Tentative Weekly Operating Plan </oddHeader>
        <oddFooter>&amp;L&amp;9k:\&amp;F\&amp;A&amp;R&amp;9&amp;D  &amp;T</oddFooter>
      </headerFooter>
    </customSheetView>
  </customSheetViews>
  <phoneticPr fontId="12" type="noConversion"/>
  <printOptions horizontalCentered="1" verticalCentered="1" gridLines="1" gridLinesSet="0"/>
  <pageMargins left="0.3" right="0" top="0.1" bottom="0" header="0.4" footer="0.25"/>
  <pageSetup scale="60" pageOrder="overThenDown" orientation="portrait" r:id="rId3"/>
  <headerFooter alignWithMargins="0">
    <oddFooter xml:space="preserve">&amp;L&amp;8Originator: Sales Operations - Vehicle Programming
&amp;Z&amp;F&amp;C&amp;"Arial,Bold"&amp;12&amp;UFORD MOTOR COMPANY PROPRIETARY&amp;"Arial,Regular"&amp;8&amp;U
Page &amp;P of &amp;N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36"/>
  <sheetViews>
    <sheetView workbookViewId="0"/>
  </sheetViews>
  <sheetFormatPr defaultRowHeight="12.5"/>
  <cols>
    <col min="1" max="1" width="20.26953125" customWidth="1"/>
    <col min="6" max="6" width="12.81640625" customWidth="1"/>
    <col min="14" max="14" width="13.26953125" hidden="1" customWidth="1"/>
    <col min="15" max="15" width="13.26953125" customWidth="1"/>
    <col min="17" max="17" width="10.453125" customWidth="1"/>
  </cols>
  <sheetData>
    <row r="1" spans="1:18" ht="13">
      <c r="A1" s="124"/>
      <c r="B1" s="670" t="s">
        <v>156</v>
      </c>
      <c r="C1" s="670"/>
      <c r="D1" s="670"/>
      <c r="E1" s="670"/>
      <c r="F1" s="670"/>
      <c r="G1" s="670"/>
      <c r="H1" s="670"/>
      <c r="I1" s="670"/>
      <c r="J1" s="670"/>
      <c r="K1" s="671"/>
      <c r="L1" s="672"/>
      <c r="M1" s="672"/>
      <c r="N1" s="125"/>
      <c r="O1" s="125" t="s">
        <v>156</v>
      </c>
      <c r="P1" s="673" t="s">
        <v>93</v>
      </c>
      <c r="Q1" s="674"/>
      <c r="R1" s="674"/>
    </row>
    <row r="2" spans="1:18" ht="13.5" thickBot="1">
      <c r="A2" s="126"/>
      <c r="B2" s="127" t="s">
        <v>94</v>
      </c>
      <c r="C2" s="128" t="s">
        <v>95</v>
      </c>
      <c r="D2" s="129" t="s">
        <v>96</v>
      </c>
      <c r="E2" s="130" t="s">
        <v>87</v>
      </c>
      <c r="F2" s="128" t="s">
        <v>88</v>
      </c>
      <c r="G2" s="129" t="s">
        <v>97</v>
      </c>
      <c r="H2" s="130" t="s">
        <v>98</v>
      </c>
      <c r="I2" s="128" t="s">
        <v>90</v>
      </c>
      <c r="J2" s="211" t="s">
        <v>99</v>
      </c>
      <c r="K2" s="212" t="s">
        <v>100</v>
      </c>
      <c r="L2" s="132" t="s">
        <v>43</v>
      </c>
      <c r="M2" s="131" t="s">
        <v>101</v>
      </c>
      <c r="N2" s="133" t="s">
        <v>157</v>
      </c>
      <c r="O2" s="215" t="s">
        <v>158</v>
      </c>
      <c r="P2" s="134" t="s">
        <v>160</v>
      </c>
      <c r="Q2" s="135" t="s">
        <v>161</v>
      </c>
      <c r="R2" s="259" t="s">
        <v>162</v>
      </c>
    </row>
    <row r="3" spans="1:18" ht="13" thickTop="1">
      <c r="A3" s="136" t="s">
        <v>170</v>
      </c>
      <c r="B3" s="226">
        <v>3</v>
      </c>
      <c r="C3" s="227"/>
      <c r="D3" s="228">
        <v>2</v>
      </c>
      <c r="E3" s="226">
        <v>1</v>
      </c>
      <c r="F3" s="229"/>
      <c r="G3" s="230">
        <v>2</v>
      </c>
      <c r="H3" s="226"/>
      <c r="I3" s="227">
        <v>1</v>
      </c>
      <c r="J3" s="231"/>
      <c r="K3" s="232"/>
      <c r="L3" s="233"/>
      <c r="M3" s="234"/>
      <c r="N3" s="191">
        <f>SUM(K3:M3)</f>
        <v>0</v>
      </c>
      <c r="O3" s="216">
        <f>SUM(B3:M3)</f>
        <v>9</v>
      </c>
      <c r="P3" s="137">
        <v>1</v>
      </c>
      <c r="Q3" s="263">
        <v>7</v>
      </c>
      <c r="R3" s="138">
        <v>1</v>
      </c>
    </row>
    <row r="4" spans="1:18">
      <c r="A4" s="139"/>
      <c r="B4" s="235"/>
      <c r="C4" s="236"/>
      <c r="D4" s="237"/>
      <c r="E4" s="235"/>
      <c r="F4" s="238"/>
      <c r="G4" s="237"/>
      <c r="H4" s="235"/>
      <c r="I4" s="236"/>
      <c r="J4" s="239"/>
      <c r="K4" s="240"/>
      <c r="L4" s="241"/>
      <c r="M4" s="242"/>
      <c r="N4" s="191">
        <f t="shared" ref="N4:N31" si="0">SUM(K4:M4)</f>
        <v>0</v>
      </c>
      <c r="O4" s="216">
        <f t="shared" ref="O4:O31" si="1">SUM(B4:M4)</f>
        <v>0</v>
      </c>
      <c r="P4" s="140"/>
      <c r="Q4" s="141"/>
      <c r="R4" s="141"/>
    </row>
    <row r="5" spans="1:18">
      <c r="A5" s="142" t="s">
        <v>102</v>
      </c>
      <c r="B5" s="226"/>
      <c r="C5" s="243"/>
      <c r="D5" s="228"/>
      <c r="E5" s="244"/>
      <c r="F5" s="229"/>
      <c r="G5" s="230">
        <v>1</v>
      </c>
      <c r="H5" s="226"/>
      <c r="I5" s="227"/>
      <c r="J5" s="231"/>
      <c r="K5" s="245"/>
      <c r="L5" s="246"/>
      <c r="M5" s="234"/>
      <c r="N5" s="191">
        <f t="shared" si="0"/>
        <v>0</v>
      </c>
      <c r="O5" s="216">
        <f t="shared" si="1"/>
        <v>1</v>
      </c>
      <c r="P5" s="137"/>
      <c r="Q5" s="138"/>
      <c r="R5" s="138">
        <v>1</v>
      </c>
    </row>
    <row r="6" spans="1:18">
      <c r="A6" s="139"/>
      <c r="B6" s="235"/>
      <c r="C6" s="236"/>
      <c r="D6" s="237"/>
      <c r="E6" s="235"/>
      <c r="F6" s="236"/>
      <c r="G6" s="237"/>
      <c r="H6" s="235"/>
      <c r="I6" s="236"/>
      <c r="J6" s="239"/>
      <c r="K6" s="240"/>
      <c r="L6" s="241"/>
      <c r="M6" s="242"/>
      <c r="N6" s="191">
        <f t="shared" si="0"/>
        <v>0</v>
      </c>
      <c r="O6" s="216">
        <f t="shared" si="1"/>
        <v>0</v>
      </c>
      <c r="P6" s="140"/>
      <c r="Q6" s="141"/>
      <c r="R6" s="141"/>
    </row>
    <row r="7" spans="1:18">
      <c r="A7" s="142" t="s">
        <v>103</v>
      </c>
      <c r="B7" s="226"/>
      <c r="C7" s="243">
        <v>1</v>
      </c>
      <c r="D7" s="228"/>
      <c r="E7" s="219">
        <v>1</v>
      </c>
      <c r="F7" s="229">
        <v>1</v>
      </c>
      <c r="G7" s="230">
        <v>1</v>
      </c>
      <c r="H7" s="226">
        <v>1</v>
      </c>
      <c r="I7" s="227">
        <v>1</v>
      </c>
      <c r="J7" s="231">
        <v>1</v>
      </c>
      <c r="K7" s="245">
        <v>1</v>
      </c>
      <c r="L7" s="246"/>
      <c r="M7" s="234"/>
      <c r="N7" s="191">
        <f t="shared" si="0"/>
        <v>1</v>
      </c>
      <c r="O7" s="216">
        <f t="shared" si="1"/>
        <v>8</v>
      </c>
      <c r="P7" s="137"/>
      <c r="Q7" s="138">
        <v>6</v>
      </c>
      <c r="R7" s="138">
        <v>2</v>
      </c>
    </row>
    <row r="8" spans="1:18">
      <c r="A8" s="139"/>
      <c r="B8" s="235"/>
      <c r="C8" s="236"/>
      <c r="D8" s="237"/>
      <c r="E8" s="235"/>
      <c r="F8" s="236"/>
      <c r="G8" s="237"/>
      <c r="H8" s="235"/>
      <c r="I8" s="236"/>
      <c r="J8" s="239"/>
      <c r="K8" s="240"/>
      <c r="L8" s="241"/>
      <c r="M8" s="242"/>
      <c r="N8" s="191">
        <f t="shared" si="0"/>
        <v>0</v>
      </c>
      <c r="O8" s="216">
        <f t="shared" si="1"/>
        <v>0</v>
      </c>
      <c r="P8" s="140"/>
      <c r="Q8" s="262"/>
      <c r="R8" s="141"/>
    </row>
    <row r="9" spans="1:18">
      <c r="A9" s="142" t="s">
        <v>104</v>
      </c>
      <c r="B9" s="226">
        <v>1</v>
      </c>
      <c r="C9" s="227"/>
      <c r="D9" s="228"/>
      <c r="E9" s="244"/>
      <c r="F9" s="229"/>
      <c r="G9" s="230"/>
      <c r="H9" s="226"/>
      <c r="I9" s="227"/>
      <c r="J9" s="231">
        <v>4</v>
      </c>
      <c r="K9" s="245"/>
      <c r="L9" s="233"/>
      <c r="M9" s="234"/>
      <c r="N9" s="191">
        <f t="shared" si="0"/>
        <v>0</v>
      </c>
      <c r="O9" s="216">
        <f t="shared" si="1"/>
        <v>5</v>
      </c>
      <c r="P9" s="137">
        <v>5</v>
      </c>
      <c r="Q9" s="138"/>
      <c r="R9" s="138"/>
    </row>
    <row r="10" spans="1:18">
      <c r="A10" s="139"/>
      <c r="B10" s="235"/>
      <c r="C10" s="236"/>
      <c r="D10" s="237"/>
      <c r="E10" s="235"/>
      <c r="F10" s="236"/>
      <c r="G10" s="237"/>
      <c r="H10" s="235"/>
      <c r="I10" s="236"/>
      <c r="J10" s="239"/>
      <c r="K10" s="240"/>
      <c r="L10" s="241"/>
      <c r="M10" s="242"/>
      <c r="N10" s="191">
        <f t="shared" si="0"/>
        <v>0</v>
      </c>
      <c r="O10" s="216">
        <f t="shared" si="1"/>
        <v>0</v>
      </c>
      <c r="P10" s="140"/>
      <c r="Q10" s="141"/>
      <c r="R10" s="141"/>
    </row>
    <row r="11" spans="1:18">
      <c r="A11" s="142" t="s">
        <v>105</v>
      </c>
      <c r="B11" s="226"/>
      <c r="C11" s="227"/>
      <c r="D11" s="228"/>
      <c r="E11" s="244"/>
      <c r="F11" s="229">
        <v>1</v>
      </c>
      <c r="G11" s="230"/>
      <c r="H11" s="226">
        <v>2</v>
      </c>
      <c r="I11" s="227"/>
      <c r="J11" s="231"/>
      <c r="K11" s="245"/>
      <c r="L11" s="246"/>
      <c r="M11" s="234"/>
      <c r="N11" s="191">
        <f t="shared" si="0"/>
        <v>0</v>
      </c>
      <c r="O11" s="216">
        <f t="shared" si="1"/>
        <v>3</v>
      </c>
      <c r="P11" s="137"/>
      <c r="Q11" s="138">
        <v>2</v>
      </c>
      <c r="R11" s="138">
        <v>2</v>
      </c>
    </row>
    <row r="12" spans="1:18">
      <c r="A12" s="139"/>
      <c r="B12" s="235"/>
      <c r="C12" s="236"/>
      <c r="D12" s="237"/>
      <c r="E12" s="235"/>
      <c r="F12" s="236"/>
      <c r="G12" s="237"/>
      <c r="H12" s="235"/>
      <c r="I12" s="236"/>
      <c r="J12" s="239"/>
      <c r="K12" s="240"/>
      <c r="L12" s="241"/>
      <c r="M12" s="242"/>
      <c r="N12" s="191">
        <f t="shared" si="0"/>
        <v>0</v>
      </c>
      <c r="O12" s="216">
        <f t="shared" si="1"/>
        <v>0</v>
      </c>
      <c r="P12" s="140"/>
      <c r="Q12" s="141"/>
      <c r="R12" s="141"/>
    </row>
    <row r="13" spans="1:18">
      <c r="A13" s="142" t="s">
        <v>106</v>
      </c>
      <c r="B13" s="226"/>
      <c r="C13" s="227"/>
      <c r="D13" s="228"/>
      <c r="E13" s="219">
        <v>2</v>
      </c>
      <c r="F13" s="229"/>
      <c r="G13" s="230"/>
      <c r="H13" s="226">
        <v>3</v>
      </c>
      <c r="I13" s="227"/>
      <c r="J13" s="231"/>
      <c r="K13" s="245">
        <v>1</v>
      </c>
      <c r="L13" s="233">
        <v>1</v>
      </c>
      <c r="M13" s="234"/>
      <c r="N13" s="191">
        <f t="shared" si="0"/>
        <v>2</v>
      </c>
      <c r="O13" s="216">
        <f t="shared" si="1"/>
        <v>7</v>
      </c>
      <c r="P13" s="137"/>
      <c r="Q13" s="138">
        <v>5</v>
      </c>
      <c r="R13" s="138">
        <v>2</v>
      </c>
    </row>
    <row r="14" spans="1:18">
      <c r="A14" s="139"/>
      <c r="B14" s="235"/>
      <c r="C14" s="236"/>
      <c r="D14" s="237"/>
      <c r="E14" s="235"/>
      <c r="F14" s="236"/>
      <c r="G14" s="237"/>
      <c r="H14" s="235"/>
      <c r="I14" s="236"/>
      <c r="J14" s="239"/>
      <c r="K14" s="240"/>
      <c r="L14" s="241"/>
      <c r="M14" s="242"/>
      <c r="N14" s="191">
        <f t="shared" si="0"/>
        <v>0</v>
      </c>
      <c r="O14" s="216">
        <f t="shared" si="1"/>
        <v>0</v>
      </c>
      <c r="P14" s="140"/>
      <c r="Q14" s="141"/>
      <c r="R14" s="141"/>
    </row>
    <row r="15" spans="1:18">
      <c r="A15" s="143" t="s">
        <v>155</v>
      </c>
      <c r="B15" s="247"/>
      <c r="C15" s="248"/>
      <c r="D15" s="249"/>
      <c r="E15" s="247"/>
      <c r="F15" s="248"/>
      <c r="G15" s="249"/>
      <c r="H15" s="247"/>
      <c r="I15" s="248"/>
      <c r="J15" s="247"/>
      <c r="K15" s="250"/>
      <c r="L15" s="251"/>
      <c r="M15" s="252"/>
      <c r="N15" s="191">
        <f t="shared" si="0"/>
        <v>0</v>
      </c>
      <c r="O15" s="216">
        <f t="shared" si="1"/>
        <v>0</v>
      </c>
      <c r="P15" s="144"/>
      <c r="Q15" s="145"/>
      <c r="R15" s="145"/>
    </row>
    <row r="16" spans="1:18">
      <c r="A16" s="142" t="s">
        <v>107</v>
      </c>
      <c r="B16" s="226">
        <v>1</v>
      </c>
      <c r="C16" s="227"/>
      <c r="D16" s="228"/>
      <c r="E16" s="244"/>
      <c r="F16" s="229"/>
      <c r="G16" s="230"/>
      <c r="H16" s="226"/>
      <c r="I16" s="227"/>
      <c r="J16" s="231"/>
      <c r="K16" s="245"/>
      <c r="L16" s="233"/>
      <c r="M16" s="234"/>
      <c r="N16" s="191">
        <f t="shared" si="0"/>
        <v>0</v>
      </c>
      <c r="O16" s="216">
        <f t="shared" si="1"/>
        <v>1</v>
      </c>
      <c r="P16" s="137">
        <v>1</v>
      </c>
      <c r="Q16" s="138"/>
      <c r="R16" s="138"/>
    </row>
    <row r="17" spans="1:18">
      <c r="A17" s="139"/>
      <c r="B17" s="235"/>
      <c r="C17" s="236"/>
      <c r="D17" s="237"/>
      <c r="E17" s="235"/>
      <c r="F17" s="236"/>
      <c r="G17" s="237"/>
      <c r="H17" s="235"/>
      <c r="I17" s="236"/>
      <c r="J17" s="239"/>
      <c r="K17" s="240"/>
      <c r="L17" s="241"/>
      <c r="M17" s="242"/>
      <c r="N17" s="191">
        <f t="shared" si="0"/>
        <v>0</v>
      </c>
      <c r="O17" s="216">
        <f t="shared" si="1"/>
        <v>0</v>
      </c>
      <c r="P17" s="140"/>
      <c r="Q17" s="146"/>
      <c r="R17" s="146"/>
    </row>
    <row r="18" spans="1:18">
      <c r="A18" s="142" t="s">
        <v>108</v>
      </c>
      <c r="B18" s="253">
        <v>1</v>
      </c>
      <c r="C18" s="227"/>
      <c r="D18" s="228"/>
      <c r="E18" s="226"/>
      <c r="F18" s="243"/>
      <c r="G18" s="228"/>
      <c r="H18" s="226">
        <v>1</v>
      </c>
      <c r="I18" s="227"/>
      <c r="J18" s="231"/>
      <c r="K18" s="245"/>
      <c r="L18" s="233"/>
      <c r="M18" s="228"/>
      <c r="N18" s="191">
        <f t="shared" si="0"/>
        <v>0</v>
      </c>
      <c r="O18" s="216">
        <f t="shared" si="1"/>
        <v>2</v>
      </c>
      <c r="P18" s="137"/>
      <c r="Q18" s="138"/>
      <c r="R18" s="138">
        <v>1</v>
      </c>
    </row>
    <row r="19" spans="1:18">
      <c r="A19" s="139"/>
      <c r="B19" s="235"/>
      <c r="C19" s="236"/>
      <c r="D19" s="237"/>
      <c r="E19" s="235"/>
      <c r="F19" s="236"/>
      <c r="G19" s="237"/>
      <c r="H19" s="235"/>
      <c r="I19" s="236"/>
      <c r="J19" s="239"/>
      <c r="K19" s="240"/>
      <c r="L19" s="241"/>
      <c r="M19" s="242"/>
      <c r="N19" s="191">
        <f t="shared" si="0"/>
        <v>0</v>
      </c>
      <c r="O19" s="216">
        <f t="shared" si="1"/>
        <v>0</v>
      </c>
      <c r="P19" s="140"/>
      <c r="Q19" s="146"/>
      <c r="R19" s="146"/>
    </row>
    <row r="20" spans="1:18">
      <c r="A20" s="142" t="s">
        <v>109</v>
      </c>
      <c r="B20" s="226"/>
      <c r="C20" s="227"/>
      <c r="D20" s="228"/>
      <c r="E20" s="244"/>
      <c r="F20" s="229"/>
      <c r="G20" s="230"/>
      <c r="H20" s="244">
        <v>1</v>
      </c>
      <c r="I20" s="227"/>
      <c r="J20" s="231"/>
      <c r="K20" s="245"/>
      <c r="L20" s="233"/>
      <c r="M20" s="234"/>
      <c r="N20" s="191">
        <f t="shared" si="0"/>
        <v>0</v>
      </c>
      <c r="O20" s="216">
        <f t="shared" si="1"/>
        <v>1</v>
      </c>
      <c r="P20" s="137"/>
      <c r="Q20" s="138"/>
      <c r="R20" s="138">
        <v>1</v>
      </c>
    </row>
    <row r="21" spans="1:18">
      <c r="A21" s="139"/>
      <c r="B21" s="235"/>
      <c r="C21" s="236"/>
      <c r="D21" s="237"/>
      <c r="E21" s="235"/>
      <c r="F21" s="236"/>
      <c r="G21" s="237"/>
      <c r="H21" s="235"/>
      <c r="I21" s="236"/>
      <c r="J21" s="239"/>
      <c r="K21" s="240"/>
      <c r="L21" s="241"/>
      <c r="M21" s="242"/>
      <c r="N21" s="191">
        <f t="shared" si="0"/>
        <v>0</v>
      </c>
      <c r="O21" s="216">
        <f t="shared" si="1"/>
        <v>0</v>
      </c>
      <c r="P21" s="140"/>
      <c r="Q21" s="141"/>
      <c r="R21" s="141"/>
    </row>
    <row r="22" spans="1:18">
      <c r="A22" s="142" t="s">
        <v>110</v>
      </c>
      <c r="B22" s="226"/>
      <c r="C22" s="227"/>
      <c r="D22" s="218">
        <v>3</v>
      </c>
      <c r="E22" s="219">
        <v>1</v>
      </c>
      <c r="F22" s="229"/>
      <c r="G22" s="230"/>
      <c r="H22" s="226"/>
      <c r="I22" s="227"/>
      <c r="J22" s="231"/>
      <c r="K22" s="245"/>
      <c r="L22" s="233"/>
      <c r="M22" s="234"/>
      <c r="N22" s="191">
        <f t="shared" si="0"/>
        <v>0</v>
      </c>
      <c r="O22" s="216">
        <f t="shared" si="1"/>
        <v>4</v>
      </c>
      <c r="P22" s="137">
        <v>4</v>
      </c>
      <c r="Q22" s="138"/>
      <c r="R22" s="138"/>
    </row>
    <row r="23" spans="1:18">
      <c r="A23" s="139"/>
      <c r="B23" s="235"/>
      <c r="C23" s="236"/>
      <c r="D23" s="237"/>
      <c r="E23" s="235"/>
      <c r="F23" s="236"/>
      <c r="G23" s="237"/>
      <c r="H23" s="235"/>
      <c r="I23" s="236"/>
      <c r="J23" s="239"/>
      <c r="K23" s="240"/>
      <c r="L23" s="241"/>
      <c r="M23" s="242"/>
      <c r="N23" s="191">
        <f t="shared" si="0"/>
        <v>0</v>
      </c>
      <c r="O23" s="216">
        <f t="shared" si="1"/>
        <v>0</v>
      </c>
      <c r="P23" s="140"/>
      <c r="Q23" s="141"/>
      <c r="R23" s="141"/>
    </row>
    <row r="24" spans="1:18">
      <c r="A24" s="142" t="s">
        <v>111</v>
      </c>
      <c r="B24" s="226"/>
      <c r="C24" s="227"/>
      <c r="D24" s="228"/>
      <c r="E24" s="244"/>
      <c r="F24" s="229"/>
      <c r="G24" s="228"/>
      <c r="H24" s="217">
        <v>5</v>
      </c>
      <c r="I24" s="227"/>
      <c r="J24" s="231"/>
      <c r="K24" s="245"/>
      <c r="L24" s="233"/>
      <c r="M24" s="234"/>
      <c r="N24" s="191">
        <f t="shared" si="0"/>
        <v>0</v>
      </c>
      <c r="O24" s="216">
        <f t="shared" si="1"/>
        <v>5</v>
      </c>
      <c r="P24" s="137">
        <v>3</v>
      </c>
      <c r="Q24" s="138"/>
      <c r="R24" s="138">
        <v>2</v>
      </c>
    </row>
    <row r="25" spans="1:18" hidden="1">
      <c r="A25" s="139"/>
      <c r="B25" s="235"/>
      <c r="C25" s="236"/>
      <c r="D25" s="237"/>
      <c r="E25" s="235"/>
      <c r="F25" s="236"/>
      <c r="G25" s="237"/>
      <c r="H25" s="235"/>
      <c r="I25" s="236"/>
      <c r="J25" s="239"/>
      <c r="K25" s="240"/>
      <c r="L25" s="241"/>
      <c r="M25" s="242"/>
      <c r="N25" s="191">
        <f t="shared" si="0"/>
        <v>0</v>
      </c>
      <c r="O25" s="216">
        <f t="shared" si="1"/>
        <v>0</v>
      </c>
      <c r="P25" s="140"/>
      <c r="Q25" s="141"/>
      <c r="R25" s="141"/>
    </row>
    <row r="26" spans="1:18" hidden="1">
      <c r="A26" s="142" t="s">
        <v>112</v>
      </c>
      <c r="B26" s="226"/>
      <c r="C26" s="227"/>
      <c r="D26" s="228"/>
      <c r="E26" s="226"/>
      <c r="F26" s="227"/>
      <c r="G26" s="228"/>
      <c r="H26" s="253"/>
      <c r="I26" s="227"/>
      <c r="J26" s="231"/>
      <c r="K26" s="245"/>
      <c r="L26" s="233"/>
      <c r="M26" s="234"/>
      <c r="N26" s="191">
        <f t="shared" si="0"/>
        <v>0</v>
      </c>
      <c r="O26" s="216">
        <f t="shared" si="1"/>
        <v>0</v>
      </c>
      <c r="P26" s="137"/>
      <c r="Q26" s="138"/>
      <c r="R26" s="138"/>
    </row>
    <row r="27" spans="1:18" hidden="1">
      <c r="A27" s="139"/>
      <c r="B27" s="235"/>
      <c r="C27" s="236"/>
      <c r="D27" s="237"/>
      <c r="E27" s="235"/>
      <c r="F27" s="236"/>
      <c r="G27" s="237"/>
      <c r="H27" s="235"/>
      <c r="I27" s="236"/>
      <c r="J27" s="239"/>
      <c r="K27" s="240"/>
      <c r="L27" s="241"/>
      <c r="M27" s="242"/>
      <c r="N27" s="191">
        <f t="shared" si="0"/>
        <v>0</v>
      </c>
      <c r="O27" s="216">
        <f t="shared" si="1"/>
        <v>0</v>
      </c>
      <c r="P27" s="140"/>
      <c r="Q27" s="141"/>
      <c r="R27" s="141"/>
    </row>
    <row r="28" spans="1:18" hidden="1">
      <c r="A28" s="142" t="s">
        <v>118</v>
      </c>
      <c r="B28" s="226"/>
      <c r="C28" s="227"/>
      <c r="D28" s="228"/>
      <c r="E28" s="226"/>
      <c r="F28" s="227"/>
      <c r="G28" s="228"/>
      <c r="H28" s="226"/>
      <c r="I28" s="227"/>
      <c r="J28" s="231"/>
      <c r="K28" s="245"/>
      <c r="L28" s="233"/>
      <c r="M28" s="234"/>
      <c r="N28" s="191">
        <f t="shared" si="0"/>
        <v>0</v>
      </c>
      <c r="O28" s="216">
        <f t="shared" si="1"/>
        <v>0</v>
      </c>
      <c r="P28" s="137"/>
      <c r="Q28" s="138"/>
      <c r="R28" s="138"/>
    </row>
    <row r="29" spans="1:18">
      <c r="A29" s="139"/>
      <c r="B29" s="235"/>
      <c r="C29" s="236"/>
      <c r="D29" s="237"/>
      <c r="E29" s="235"/>
      <c r="F29" s="236"/>
      <c r="G29" s="237"/>
      <c r="H29" s="235"/>
      <c r="I29" s="236"/>
      <c r="J29" s="239"/>
      <c r="K29" s="240"/>
      <c r="L29" s="241"/>
      <c r="M29" s="242"/>
      <c r="N29" s="191">
        <f t="shared" si="0"/>
        <v>0</v>
      </c>
      <c r="O29" s="216">
        <f t="shared" si="1"/>
        <v>0</v>
      </c>
      <c r="P29" s="140"/>
      <c r="Q29" s="141"/>
      <c r="R29" s="141"/>
    </row>
    <row r="30" spans="1:18">
      <c r="A30" s="142" t="s">
        <v>113</v>
      </c>
      <c r="B30" s="226"/>
      <c r="C30" s="227">
        <v>1</v>
      </c>
      <c r="D30" s="218"/>
      <c r="E30" s="217">
        <v>2</v>
      </c>
      <c r="F30" s="227">
        <v>2</v>
      </c>
      <c r="G30" s="228"/>
      <c r="H30" s="226">
        <v>1</v>
      </c>
      <c r="I30" s="227">
        <v>2</v>
      </c>
      <c r="J30" s="231"/>
      <c r="K30" s="245">
        <v>2</v>
      </c>
      <c r="L30" s="233">
        <v>1</v>
      </c>
      <c r="M30" s="234"/>
      <c r="N30" s="191">
        <f t="shared" si="0"/>
        <v>3</v>
      </c>
      <c r="O30" s="216">
        <f t="shared" si="1"/>
        <v>11</v>
      </c>
      <c r="P30" s="137">
        <v>1</v>
      </c>
      <c r="Q30" s="138">
        <v>8</v>
      </c>
      <c r="R30" s="138">
        <v>2</v>
      </c>
    </row>
    <row r="31" spans="1:18">
      <c r="A31" s="139"/>
      <c r="B31" s="235"/>
      <c r="C31" s="236"/>
      <c r="D31" s="237"/>
      <c r="E31" s="235"/>
      <c r="F31" s="236"/>
      <c r="G31" s="237"/>
      <c r="H31" s="235"/>
      <c r="I31" s="236"/>
      <c r="J31" s="239"/>
      <c r="K31" s="240"/>
      <c r="L31" s="241"/>
      <c r="M31" s="242"/>
      <c r="N31" s="191">
        <f t="shared" si="0"/>
        <v>0</v>
      </c>
      <c r="O31" s="216">
        <f t="shared" si="1"/>
        <v>0</v>
      </c>
      <c r="P31" s="140"/>
      <c r="Q31" s="141"/>
      <c r="R31" s="141"/>
    </row>
    <row r="32" spans="1:18" ht="13">
      <c r="A32" s="147"/>
      <c r="B32" s="220"/>
      <c r="C32" s="220"/>
      <c r="D32" s="220"/>
      <c r="E32" s="220"/>
      <c r="F32" s="220"/>
      <c r="G32" s="221"/>
      <c r="H32" s="220"/>
      <c r="I32" s="221"/>
      <c r="J32" s="222"/>
      <c r="K32" s="223"/>
      <c r="L32" s="224"/>
      <c r="M32" s="225" t="s">
        <v>114</v>
      </c>
      <c r="N32" s="192">
        <f>SUM(N3:N31)</f>
        <v>6</v>
      </c>
      <c r="O32" s="192">
        <f>SUM(O3:O31)</f>
        <v>57</v>
      </c>
      <c r="P32" s="148">
        <f>SUM(P3:P31)</f>
        <v>15</v>
      </c>
      <c r="Q32" s="148">
        <f>SUM(Q3:Q31)</f>
        <v>28</v>
      </c>
      <c r="R32" s="148">
        <f>SUM(R3:R31)</f>
        <v>14</v>
      </c>
    </row>
    <row r="33" spans="1:17" ht="13">
      <c r="A33" s="149"/>
      <c r="B33" s="150"/>
      <c r="C33" s="150"/>
      <c r="D33" s="150"/>
      <c r="E33" s="150"/>
      <c r="F33" s="150"/>
      <c r="H33" s="150"/>
      <c r="I33" s="150"/>
      <c r="J33" s="151"/>
      <c r="K33" s="152"/>
      <c r="L33" s="261" t="s">
        <v>163</v>
      </c>
      <c r="M33" s="260"/>
      <c r="N33" s="153"/>
      <c r="O33" s="153"/>
      <c r="P33" s="150"/>
      <c r="Q33" s="150"/>
    </row>
    <row r="34" spans="1:17" ht="13">
      <c r="A34" s="19"/>
      <c r="B34" s="154"/>
      <c r="C34" s="150"/>
      <c r="D34" s="150"/>
      <c r="E34" s="150"/>
      <c r="F34" s="150"/>
      <c r="G34" s="150"/>
      <c r="H34" s="150"/>
      <c r="I34" s="150"/>
      <c r="J34" s="150"/>
      <c r="K34" s="150"/>
      <c r="L34" s="150"/>
      <c r="M34" s="150"/>
      <c r="N34" s="153"/>
      <c r="O34" s="153"/>
      <c r="P34" s="150"/>
      <c r="Q34" s="150"/>
    </row>
    <row r="35" spans="1:17">
      <c r="A35" s="19"/>
      <c r="B35" s="150"/>
      <c r="C35" s="150"/>
      <c r="D35" s="150"/>
      <c r="E35" s="150"/>
      <c r="F35" s="150"/>
      <c r="G35" s="150"/>
      <c r="H35" s="150"/>
      <c r="I35" s="150"/>
      <c r="J35" s="150"/>
      <c r="K35" s="150"/>
      <c r="L35" s="150"/>
      <c r="M35" s="150"/>
      <c r="N35" s="153"/>
      <c r="O35" s="153"/>
      <c r="P35" s="150"/>
      <c r="Q35" s="150"/>
    </row>
    <row r="36" spans="1:17">
      <c r="A36" s="1"/>
      <c r="B36" s="150"/>
      <c r="C36" s="150"/>
      <c r="D36" s="150"/>
      <c r="E36" s="150"/>
      <c r="F36" s="150"/>
      <c r="G36" s="150"/>
      <c r="H36" s="150"/>
      <c r="I36" s="150"/>
      <c r="J36" s="150"/>
      <c r="K36" s="150"/>
      <c r="L36" s="150"/>
      <c r="M36" s="150"/>
      <c r="N36" s="153"/>
      <c r="O36" s="153"/>
      <c r="P36" s="150"/>
      <c r="Q36" s="150"/>
    </row>
  </sheetData>
  <customSheetViews>
    <customSheetView guid="{08C15DDF-888A-4EA7-BBDA-6FF36DAC46FE}" fitToPage="1" hiddenRows="1" hiddenColumns="1">
      <selection activeCell="A3" sqref="A3"/>
      <pageMargins left="0.75" right="0.75" top="1" bottom="1" header="0.5" footer="0.5"/>
      <pageSetup scale="70" orientation="landscape" r:id="rId1"/>
      <headerFooter alignWithMargins="0">
        <oddHeader xml:space="preserve">&amp;C&amp;"Arial,Bold"&amp;12 2013 Downweeks&amp;"Arial,Regular"&amp;10
</oddHeader>
      </headerFooter>
    </customSheetView>
    <customSheetView guid="{9B688151-B216-4D15-BAF0-B3C14436A635}" fitToPage="1" hiddenRows="1" hiddenColumns="1">
      <selection activeCell="A3" sqref="A3"/>
      <pageMargins left="0.75" right="0.75" top="1" bottom="1" header="0.5" footer="0.5"/>
      <pageSetup scale="70" orientation="landscape" r:id="rId2"/>
      <headerFooter alignWithMargins="0">
        <oddHeader xml:space="preserve">&amp;C&amp;"Arial,Bold"&amp;12 2013 Downweeks&amp;"Arial,Regular"&amp;10
</oddHeader>
      </headerFooter>
    </customSheetView>
  </customSheetViews>
  <mergeCells count="3">
    <mergeCell ref="B1:J1"/>
    <mergeCell ref="K1:M1"/>
    <mergeCell ref="P1:R1"/>
  </mergeCells>
  <printOptions horizontalCentered="1" verticalCentered="1"/>
  <pageMargins left="0.3" right="0" top="0.1" bottom="0" header="0.4" footer="0.25"/>
  <pageSetup scale="60" pageOrder="overThenDown" orientation="portrait" r:id="rId3"/>
  <headerFooter alignWithMargins="0">
    <oddFooter xml:space="preserve">&amp;L&amp;8Originator: Sales Operations - Vehicle Programming
&amp;Z&amp;F&amp;C&amp;"Arial,Bold"&amp;12&amp;UFORD MOTOR COMPANY PROPRIETARY&amp;"Arial,Regular"&amp;8&amp;U
Page &amp;P of &amp;N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6"/>
  <sheetViews>
    <sheetView workbookViewId="0"/>
  </sheetViews>
  <sheetFormatPr defaultRowHeight="12.5"/>
  <cols>
    <col min="1" max="1" width="20.26953125" style="280" customWidth="1"/>
    <col min="6" max="6" width="12.81640625" customWidth="1"/>
    <col min="14" max="14" width="13.26953125" hidden="1" customWidth="1"/>
    <col min="15" max="15" width="13.26953125" customWidth="1"/>
    <col min="17" max="17" width="10.453125" customWidth="1"/>
  </cols>
  <sheetData>
    <row r="1" spans="1:21" ht="13">
      <c r="A1" s="271"/>
      <c r="B1" s="670" t="s">
        <v>173</v>
      </c>
      <c r="C1" s="670"/>
      <c r="D1" s="670"/>
      <c r="E1" s="670"/>
      <c r="F1" s="670"/>
      <c r="G1" s="670"/>
      <c r="H1" s="670"/>
      <c r="I1" s="670"/>
      <c r="J1" s="670"/>
      <c r="K1" s="671"/>
      <c r="L1" s="672"/>
      <c r="M1" s="672"/>
      <c r="N1" s="125"/>
      <c r="O1" s="125" t="s">
        <v>173</v>
      </c>
      <c r="P1" s="673" t="s">
        <v>93</v>
      </c>
      <c r="Q1" s="674"/>
      <c r="R1" s="674"/>
    </row>
    <row r="2" spans="1:21" ht="13.5" thickBot="1">
      <c r="A2" s="272"/>
      <c r="B2" s="127" t="s">
        <v>94</v>
      </c>
      <c r="C2" s="128" t="s">
        <v>95</v>
      </c>
      <c r="D2" s="129" t="s">
        <v>96</v>
      </c>
      <c r="E2" s="130" t="s">
        <v>87</v>
      </c>
      <c r="F2" s="128" t="s">
        <v>88</v>
      </c>
      <c r="G2" s="129" t="s">
        <v>97</v>
      </c>
      <c r="H2" s="130" t="s">
        <v>98</v>
      </c>
      <c r="I2" s="128" t="s">
        <v>90</v>
      </c>
      <c r="J2" s="211" t="s">
        <v>99</v>
      </c>
      <c r="K2" s="212" t="s">
        <v>100</v>
      </c>
      <c r="L2" s="132" t="s">
        <v>43</v>
      </c>
      <c r="M2" s="131" t="s">
        <v>101</v>
      </c>
      <c r="N2" s="133" t="s">
        <v>157</v>
      </c>
      <c r="O2" s="215" t="s">
        <v>197</v>
      </c>
      <c r="P2" s="134" t="s">
        <v>160</v>
      </c>
      <c r="Q2" s="135" t="s">
        <v>161</v>
      </c>
      <c r="R2" s="259" t="s">
        <v>162</v>
      </c>
    </row>
    <row r="3" spans="1:21" ht="13" thickTop="1">
      <c r="A3" s="273" t="s">
        <v>170</v>
      </c>
      <c r="B3" s="226"/>
      <c r="C3" s="227"/>
      <c r="D3" s="228"/>
      <c r="E3" s="226"/>
      <c r="F3" s="229"/>
      <c r="G3" s="230">
        <v>2</v>
      </c>
      <c r="H3" s="226">
        <v>2</v>
      </c>
      <c r="I3" s="227"/>
      <c r="J3" s="231"/>
      <c r="K3" s="232"/>
      <c r="L3" s="233">
        <v>2</v>
      </c>
      <c r="M3" s="234"/>
      <c r="N3" s="191">
        <f>SUM(K3:M3)</f>
        <v>2</v>
      </c>
      <c r="O3" s="216">
        <f>SUM(B3:M3)</f>
        <v>6</v>
      </c>
      <c r="P3" s="137">
        <v>2</v>
      </c>
      <c r="Q3" s="263">
        <v>2</v>
      </c>
      <c r="R3" s="138">
        <v>2</v>
      </c>
    </row>
    <row r="4" spans="1:21">
      <c r="A4" s="274"/>
      <c r="B4" s="235"/>
      <c r="C4" s="236"/>
      <c r="D4" s="237"/>
      <c r="E4" s="235"/>
      <c r="F4" s="238"/>
      <c r="G4" s="237"/>
      <c r="H4" s="235"/>
      <c r="I4" s="236"/>
      <c r="J4" s="239"/>
      <c r="K4" s="240"/>
      <c r="L4" s="241"/>
      <c r="M4" s="242"/>
      <c r="N4" s="191">
        <f t="shared" ref="N4:N31" si="0">SUM(K4:M4)</f>
        <v>0</v>
      </c>
      <c r="O4" s="216">
        <f t="shared" ref="O4:O31" si="1">SUM(B4:M4)</f>
        <v>0</v>
      </c>
      <c r="P4" s="140"/>
      <c r="Q4" s="141"/>
      <c r="R4" s="141"/>
    </row>
    <row r="5" spans="1:21">
      <c r="A5" s="275" t="s">
        <v>102</v>
      </c>
      <c r="B5" s="226"/>
      <c r="C5" s="243"/>
      <c r="D5" s="228"/>
      <c r="E5" s="244"/>
      <c r="F5" s="229"/>
      <c r="G5" s="230"/>
      <c r="H5" s="226">
        <v>1</v>
      </c>
      <c r="I5" s="227"/>
      <c r="J5" s="231"/>
      <c r="K5" s="245"/>
      <c r="L5" s="246"/>
      <c r="M5" s="234"/>
      <c r="N5" s="191">
        <f t="shared" si="0"/>
        <v>0</v>
      </c>
      <c r="O5" s="216">
        <f t="shared" si="1"/>
        <v>1</v>
      </c>
      <c r="P5" s="137"/>
      <c r="Q5" s="138"/>
      <c r="R5" s="138">
        <v>1</v>
      </c>
    </row>
    <row r="6" spans="1:21">
      <c r="A6" s="274"/>
      <c r="B6" s="235"/>
      <c r="C6" s="236"/>
      <c r="D6" s="237"/>
      <c r="E6" s="235"/>
      <c r="F6" s="236"/>
      <c r="G6" s="237"/>
      <c r="H6" s="235"/>
      <c r="I6" s="236"/>
      <c r="J6" s="239"/>
      <c r="K6" s="240"/>
      <c r="L6" s="241"/>
      <c r="M6" s="242"/>
      <c r="N6" s="191">
        <f t="shared" si="0"/>
        <v>0</v>
      </c>
      <c r="O6" s="216">
        <f t="shared" si="1"/>
        <v>0</v>
      </c>
      <c r="P6" s="140"/>
      <c r="Q6" s="141"/>
      <c r="R6" s="141"/>
    </row>
    <row r="7" spans="1:21">
      <c r="A7" s="275" t="s">
        <v>103</v>
      </c>
      <c r="B7" s="226">
        <v>1</v>
      </c>
      <c r="C7" s="243">
        <v>1</v>
      </c>
      <c r="D7" s="228">
        <v>2</v>
      </c>
      <c r="E7" s="219"/>
      <c r="F7" s="229"/>
      <c r="G7" s="230"/>
      <c r="H7" s="226">
        <v>1</v>
      </c>
      <c r="I7" s="227">
        <v>2</v>
      </c>
      <c r="J7" s="231">
        <v>2</v>
      </c>
      <c r="K7" s="245"/>
      <c r="L7" s="246">
        <v>0</v>
      </c>
      <c r="M7" s="234">
        <v>1</v>
      </c>
      <c r="N7" s="191">
        <f t="shared" si="0"/>
        <v>1</v>
      </c>
      <c r="O7" s="216">
        <f t="shared" si="1"/>
        <v>10</v>
      </c>
      <c r="P7" s="137">
        <v>2</v>
      </c>
      <c r="Q7" s="138">
        <v>6</v>
      </c>
      <c r="R7" s="138">
        <v>2</v>
      </c>
    </row>
    <row r="8" spans="1:21">
      <c r="A8" s="274"/>
      <c r="B8" s="235"/>
      <c r="C8" s="236"/>
      <c r="D8" s="237"/>
      <c r="E8" s="235"/>
      <c r="F8" s="236"/>
      <c r="G8" s="237"/>
      <c r="H8" s="235"/>
      <c r="I8" s="236"/>
      <c r="J8" s="239"/>
      <c r="K8" s="240"/>
      <c r="L8" s="241"/>
      <c r="M8" s="242"/>
      <c r="N8" s="191">
        <f t="shared" si="0"/>
        <v>0</v>
      </c>
      <c r="O8" s="216">
        <f t="shared" si="1"/>
        <v>0</v>
      </c>
      <c r="P8" s="140"/>
      <c r="Q8" s="270"/>
      <c r="R8" s="141"/>
    </row>
    <row r="9" spans="1:21">
      <c r="A9" s="275" t="s">
        <v>104</v>
      </c>
      <c r="B9" s="226"/>
      <c r="C9" s="227"/>
      <c r="D9" s="228"/>
      <c r="E9" s="244"/>
      <c r="F9" s="229"/>
      <c r="G9" s="230"/>
      <c r="H9" s="226">
        <v>1</v>
      </c>
      <c r="I9" s="227"/>
      <c r="J9" s="231"/>
      <c r="K9" s="245"/>
      <c r="L9" s="233"/>
      <c r="M9" s="234"/>
      <c r="N9" s="191">
        <f t="shared" si="0"/>
        <v>0</v>
      </c>
      <c r="O9" s="216">
        <f t="shared" si="1"/>
        <v>1</v>
      </c>
      <c r="P9" s="137"/>
      <c r="Q9" s="138"/>
      <c r="R9" s="138">
        <v>1</v>
      </c>
    </row>
    <row r="10" spans="1:21">
      <c r="A10" s="274"/>
      <c r="B10" s="235"/>
      <c r="C10" s="236"/>
      <c r="D10" s="237"/>
      <c r="E10" s="235"/>
      <c r="F10" s="236"/>
      <c r="G10" s="237"/>
      <c r="H10" s="235"/>
      <c r="I10" s="236"/>
      <c r="J10" s="239"/>
      <c r="K10" s="240"/>
      <c r="L10" s="241"/>
      <c r="M10" s="242"/>
      <c r="N10" s="191">
        <f t="shared" si="0"/>
        <v>0</v>
      </c>
      <c r="O10" s="216">
        <f t="shared" si="1"/>
        <v>0</v>
      </c>
      <c r="P10" s="140"/>
      <c r="Q10" s="141"/>
      <c r="R10" s="141"/>
    </row>
    <row r="11" spans="1:21">
      <c r="A11" s="275" t="s">
        <v>105</v>
      </c>
      <c r="B11" s="226">
        <v>1</v>
      </c>
      <c r="C11" s="227">
        <v>1</v>
      </c>
      <c r="D11" s="228"/>
      <c r="E11" s="244">
        <v>1</v>
      </c>
      <c r="F11" s="229"/>
      <c r="G11" s="230">
        <v>1</v>
      </c>
      <c r="H11" s="226">
        <v>1</v>
      </c>
      <c r="I11" s="227">
        <v>1</v>
      </c>
      <c r="J11" s="231"/>
      <c r="K11" s="245"/>
      <c r="L11" s="246" t="s">
        <v>199</v>
      </c>
      <c r="M11" s="246" t="s">
        <v>199</v>
      </c>
      <c r="N11" s="191">
        <f t="shared" si="0"/>
        <v>0</v>
      </c>
      <c r="O11" s="216">
        <f>SUM(B11:M11)+2</f>
        <v>8</v>
      </c>
      <c r="P11" s="137">
        <v>2</v>
      </c>
      <c r="Q11" s="138">
        <v>4</v>
      </c>
      <c r="R11" s="138">
        <v>2</v>
      </c>
      <c r="S11" t="s">
        <v>200</v>
      </c>
    </row>
    <row r="12" spans="1:21">
      <c r="A12" s="274"/>
      <c r="B12" s="235"/>
      <c r="C12" s="236"/>
      <c r="D12" s="237"/>
      <c r="E12" s="235"/>
      <c r="F12" s="236"/>
      <c r="G12" s="237"/>
      <c r="H12" s="235"/>
      <c r="I12" s="236"/>
      <c r="J12" s="239"/>
      <c r="K12" s="240"/>
      <c r="L12" s="241"/>
      <c r="M12" s="242"/>
      <c r="N12" s="191">
        <f t="shared" si="0"/>
        <v>0</v>
      </c>
      <c r="O12" s="216">
        <f t="shared" si="1"/>
        <v>0</v>
      </c>
      <c r="P12" s="140"/>
      <c r="Q12" s="141"/>
      <c r="R12" s="141"/>
    </row>
    <row r="13" spans="1:21">
      <c r="A13" s="275" t="s">
        <v>106</v>
      </c>
      <c r="B13" s="226">
        <v>1</v>
      </c>
      <c r="C13" s="227"/>
      <c r="D13" s="228"/>
      <c r="E13" s="219"/>
      <c r="F13" s="229">
        <v>0.5</v>
      </c>
      <c r="G13" s="230"/>
      <c r="H13" s="226">
        <v>2</v>
      </c>
      <c r="I13" s="227"/>
      <c r="J13" s="231"/>
      <c r="K13" s="245"/>
      <c r="L13" s="233">
        <v>1</v>
      </c>
      <c r="M13" s="234"/>
      <c r="N13" s="191">
        <f t="shared" si="0"/>
        <v>1</v>
      </c>
      <c r="O13" s="216">
        <f t="shared" si="1"/>
        <v>4.5</v>
      </c>
      <c r="P13" s="137"/>
      <c r="Q13" s="138">
        <v>5</v>
      </c>
      <c r="R13" s="138">
        <v>2</v>
      </c>
      <c r="S13" t="s">
        <v>191</v>
      </c>
    </row>
    <row r="14" spans="1:21">
      <c r="A14" s="274"/>
      <c r="B14" s="235"/>
      <c r="C14" s="236"/>
      <c r="D14" s="237"/>
      <c r="E14" s="235"/>
      <c r="F14" s="236"/>
      <c r="G14" s="237"/>
      <c r="H14" s="235"/>
      <c r="I14" s="236"/>
      <c r="J14" s="239"/>
      <c r="K14" s="240"/>
      <c r="L14" s="241"/>
      <c r="M14" s="242"/>
      <c r="N14" s="191">
        <f t="shared" si="0"/>
        <v>0</v>
      </c>
      <c r="O14" s="216">
        <f t="shared" si="1"/>
        <v>0</v>
      </c>
      <c r="P14" s="140"/>
      <c r="Q14" s="141"/>
      <c r="R14" s="141"/>
    </row>
    <row r="15" spans="1:21">
      <c r="A15" s="276" t="s">
        <v>155</v>
      </c>
      <c r="B15" s="247"/>
      <c r="C15" s="248">
        <v>1</v>
      </c>
      <c r="D15" s="249"/>
      <c r="E15" s="247"/>
      <c r="F15" s="248"/>
      <c r="G15" s="249"/>
      <c r="H15" s="247">
        <v>2</v>
      </c>
      <c r="I15" s="248"/>
      <c r="J15" s="247"/>
      <c r="K15" s="250">
        <v>1</v>
      </c>
      <c r="L15" s="251"/>
      <c r="M15" s="252"/>
      <c r="N15" s="191">
        <f t="shared" si="0"/>
        <v>1</v>
      </c>
      <c r="O15" s="216">
        <f t="shared" si="1"/>
        <v>4</v>
      </c>
      <c r="P15" s="144"/>
      <c r="Q15" s="145">
        <v>3</v>
      </c>
      <c r="R15" s="145">
        <v>2</v>
      </c>
      <c r="U15" s="324"/>
    </row>
    <row r="16" spans="1:21">
      <c r="A16" s="275" t="s">
        <v>107</v>
      </c>
      <c r="B16" s="226">
        <v>4</v>
      </c>
      <c r="C16" s="227">
        <v>2</v>
      </c>
      <c r="D16" s="228"/>
      <c r="E16" s="244"/>
      <c r="F16" s="229"/>
      <c r="G16" s="230"/>
      <c r="H16" s="226">
        <v>1</v>
      </c>
      <c r="I16" s="227"/>
      <c r="J16" s="231"/>
      <c r="K16" s="245"/>
      <c r="L16" s="233"/>
      <c r="M16" s="234"/>
      <c r="N16" s="191">
        <f t="shared" si="0"/>
        <v>0</v>
      </c>
      <c r="O16" s="216">
        <f t="shared" si="1"/>
        <v>7</v>
      </c>
      <c r="P16" s="137">
        <v>6</v>
      </c>
      <c r="Q16" s="138"/>
      <c r="R16" s="138">
        <v>1</v>
      </c>
    </row>
    <row r="17" spans="1:18">
      <c r="A17" s="274"/>
      <c r="B17" s="235"/>
      <c r="C17" s="236"/>
      <c r="D17" s="237"/>
      <c r="E17" s="235"/>
      <c r="F17" s="236"/>
      <c r="G17" s="237"/>
      <c r="H17" s="235"/>
      <c r="I17" s="236"/>
      <c r="J17" s="239"/>
      <c r="K17" s="240"/>
      <c r="L17" s="241"/>
      <c r="M17" s="242"/>
      <c r="N17" s="191">
        <f t="shared" si="0"/>
        <v>0</v>
      </c>
      <c r="O17" s="216">
        <f t="shared" si="1"/>
        <v>0</v>
      </c>
      <c r="P17" s="140"/>
      <c r="Q17" s="146"/>
      <c r="R17" s="146"/>
    </row>
    <row r="18" spans="1:18">
      <c r="A18" s="275" t="s">
        <v>108</v>
      </c>
      <c r="B18" s="253"/>
      <c r="C18" s="227"/>
      <c r="D18" s="228"/>
      <c r="E18" s="226"/>
      <c r="F18" s="243"/>
      <c r="G18" s="228"/>
      <c r="H18" s="226">
        <v>3</v>
      </c>
      <c r="I18" s="227"/>
      <c r="J18" s="231"/>
      <c r="K18" s="245"/>
      <c r="L18" s="233"/>
      <c r="M18" s="228"/>
      <c r="N18" s="191">
        <f t="shared" si="0"/>
        <v>0</v>
      </c>
      <c r="O18" s="216">
        <f t="shared" si="1"/>
        <v>3</v>
      </c>
      <c r="P18" s="137">
        <v>1</v>
      </c>
      <c r="Q18" s="138"/>
      <c r="R18" s="138">
        <v>2</v>
      </c>
    </row>
    <row r="19" spans="1:18">
      <c r="A19" s="274"/>
      <c r="B19" s="235"/>
      <c r="C19" s="236"/>
      <c r="D19" s="237"/>
      <c r="E19" s="235"/>
      <c r="F19" s="236"/>
      <c r="G19" s="237"/>
      <c r="H19" s="235"/>
      <c r="I19" s="236"/>
      <c r="J19" s="239"/>
      <c r="K19" s="240"/>
      <c r="L19" s="241"/>
      <c r="M19" s="242"/>
      <c r="N19" s="191">
        <f t="shared" si="0"/>
        <v>0</v>
      </c>
      <c r="O19" s="216">
        <f t="shared" si="1"/>
        <v>0</v>
      </c>
      <c r="P19" s="140"/>
      <c r="Q19" s="146"/>
      <c r="R19" s="146"/>
    </row>
    <row r="20" spans="1:18">
      <c r="A20" s="275" t="s">
        <v>109</v>
      </c>
      <c r="B20" s="226"/>
      <c r="C20" s="227"/>
      <c r="D20" s="228"/>
      <c r="E20" s="244"/>
      <c r="F20" s="229"/>
      <c r="G20" s="230"/>
      <c r="H20" s="244">
        <v>1</v>
      </c>
      <c r="I20" s="227"/>
      <c r="J20" s="231"/>
      <c r="K20" s="245"/>
      <c r="L20" s="233"/>
      <c r="M20" s="234"/>
      <c r="N20" s="191">
        <f t="shared" si="0"/>
        <v>0</v>
      </c>
      <c r="O20" s="216">
        <f t="shared" si="1"/>
        <v>1</v>
      </c>
      <c r="P20" s="137"/>
      <c r="Q20" s="138"/>
      <c r="R20" s="138">
        <v>1</v>
      </c>
    </row>
    <row r="21" spans="1:18">
      <c r="A21" s="274"/>
      <c r="B21" s="235"/>
      <c r="C21" s="236"/>
      <c r="D21" s="237"/>
      <c r="E21" s="235"/>
      <c r="F21" s="236"/>
      <c r="G21" s="237"/>
      <c r="H21" s="235"/>
      <c r="I21" s="236"/>
      <c r="J21" s="239"/>
      <c r="K21" s="240"/>
      <c r="L21" s="241"/>
      <c r="M21" s="242"/>
      <c r="N21" s="191">
        <f t="shared" si="0"/>
        <v>0</v>
      </c>
      <c r="O21" s="216">
        <f t="shared" si="1"/>
        <v>0</v>
      </c>
      <c r="P21" s="140"/>
      <c r="Q21" s="141"/>
      <c r="R21" s="141"/>
    </row>
    <row r="22" spans="1:18">
      <c r="A22" s="275" t="s">
        <v>110</v>
      </c>
      <c r="B22" s="226">
        <v>2</v>
      </c>
      <c r="C22" s="227"/>
      <c r="D22" s="218"/>
      <c r="E22" s="219"/>
      <c r="F22" s="229"/>
      <c r="G22" s="230"/>
      <c r="H22" s="226"/>
      <c r="I22" s="227"/>
      <c r="J22" s="231"/>
      <c r="K22" s="245"/>
      <c r="L22" s="233"/>
      <c r="M22" s="234"/>
      <c r="N22" s="191">
        <f t="shared" si="0"/>
        <v>0</v>
      </c>
      <c r="O22" s="216">
        <f t="shared" si="1"/>
        <v>2</v>
      </c>
      <c r="P22" s="137">
        <v>2</v>
      </c>
      <c r="Q22" s="138"/>
      <c r="R22" s="138"/>
    </row>
    <row r="23" spans="1:18">
      <c r="A23" s="274"/>
      <c r="B23" s="235"/>
      <c r="C23" s="236"/>
      <c r="D23" s="237"/>
      <c r="E23" s="235"/>
      <c r="F23" s="236"/>
      <c r="G23" s="237"/>
      <c r="H23" s="235"/>
      <c r="I23" s="236"/>
      <c r="J23" s="239"/>
      <c r="K23" s="240"/>
      <c r="L23" s="241"/>
      <c r="M23" s="242"/>
      <c r="N23" s="191">
        <f t="shared" si="0"/>
        <v>0</v>
      </c>
      <c r="O23" s="216">
        <f t="shared" si="1"/>
        <v>0</v>
      </c>
      <c r="P23" s="140"/>
      <c r="Q23" s="141"/>
      <c r="R23" s="141"/>
    </row>
    <row r="24" spans="1:18">
      <c r="A24" s="275" t="s">
        <v>111</v>
      </c>
      <c r="B24" s="226"/>
      <c r="C24" s="227"/>
      <c r="D24" s="228"/>
      <c r="E24" s="244"/>
      <c r="F24" s="229"/>
      <c r="G24" s="228"/>
      <c r="H24" s="217">
        <v>2</v>
      </c>
      <c r="I24" s="227"/>
      <c r="J24" s="231"/>
      <c r="K24" s="245"/>
      <c r="L24" s="233"/>
      <c r="M24" s="234"/>
      <c r="N24" s="191">
        <f t="shared" si="0"/>
        <v>0</v>
      </c>
      <c r="O24" s="216">
        <f t="shared" si="1"/>
        <v>2</v>
      </c>
      <c r="P24" s="137"/>
      <c r="Q24" s="138"/>
      <c r="R24" s="138">
        <v>2</v>
      </c>
    </row>
    <row r="25" spans="1:18" hidden="1">
      <c r="A25" s="274"/>
      <c r="B25" s="235"/>
      <c r="C25" s="236"/>
      <c r="D25" s="237"/>
      <c r="E25" s="235"/>
      <c r="F25" s="236"/>
      <c r="G25" s="237"/>
      <c r="H25" s="235"/>
      <c r="I25" s="236"/>
      <c r="J25" s="239"/>
      <c r="K25" s="240"/>
      <c r="L25" s="241"/>
      <c r="M25" s="242"/>
      <c r="N25" s="191">
        <f t="shared" si="0"/>
        <v>0</v>
      </c>
      <c r="O25" s="216">
        <f t="shared" si="1"/>
        <v>0</v>
      </c>
      <c r="P25" s="140"/>
      <c r="Q25" s="141"/>
      <c r="R25" s="141"/>
    </row>
    <row r="26" spans="1:18" hidden="1">
      <c r="A26" s="275" t="s">
        <v>112</v>
      </c>
      <c r="B26" s="226"/>
      <c r="C26" s="227"/>
      <c r="D26" s="228"/>
      <c r="E26" s="226"/>
      <c r="F26" s="227"/>
      <c r="G26" s="228"/>
      <c r="H26" s="253"/>
      <c r="I26" s="227"/>
      <c r="J26" s="231"/>
      <c r="K26" s="245"/>
      <c r="L26" s="233"/>
      <c r="M26" s="234"/>
      <c r="N26" s="191">
        <f t="shared" si="0"/>
        <v>0</v>
      </c>
      <c r="O26" s="216">
        <f t="shared" si="1"/>
        <v>0</v>
      </c>
      <c r="P26" s="137"/>
      <c r="Q26" s="138"/>
      <c r="R26" s="138"/>
    </row>
    <row r="27" spans="1:18" hidden="1">
      <c r="A27" s="274"/>
      <c r="B27" s="235"/>
      <c r="C27" s="236"/>
      <c r="D27" s="237"/>
      <c r="E27" s="235"/>
      <c r="F27" s="236"/>
      <c r="G27" s="237"/>
      <c r="H27" s="235"/>
      <c r="I27" s="236"/>
      <c r="J27" s="239"/>
      <c r="K27" s="240"/>
      <c r="L27" s="241"/>
      <c r="M27" s="242"/>
      <c r="N27" s="191">
        <f t="shared" si="0"/>
        <v>0</v>
      </c>
      <c r="O27" s="216">
        <f t="shared" si="1"/>
        <v>0</v>
      </c>
      <c r="P27" s="140"/>
      <c r="Q27" s="141"/>
      <c r="R27" s="141"/>
    </row>
    <row r="28" spans="1:18" hidden="1">
      <c r="A28" s="275" t="s">
        <v>118</v>
      </c>
      <c r="B28" s="226"/>
      <c r="C28" s="227"/>
      <c r="D28" s="228"/>
      <c r="E28" s="226"/>
      <c r="F28" s="227"/>
      <c r="G28" s="228"/>
      <c r="H28" s="226"/>
      <c r="I28" s="227"/>
      <c r="J28" s="231"/>
      <c r="K28" s="245"/>
      <c r="L28" s="233"/>
      <c r="M28" s="234"/>
      <c r="N28" s="191">
        <f t="shared" si="0"/>
        <v>0</v>
      </c>
      <c r="O28" s="216">
        <f t="shared" si="1"/>
        <v>0</v>
      </c>
      <c r="P28" s="137"/>
      <c r="Q28" s="138"/>
      <c r="R28" s="138"/>
    </row>
    <row r="29" spans="1:18">
      <c r="A29" s="274"/>
      <c r="B29" s="235"/>
      <c r="C29" s="236"/>
      <c r="D29" s="237"/>
      <c r="E29" s="235"/>
      <c r="F29" s="236"/>
      <c r="G29" s="237"/>
      <c r="H29" s="235"/>
      <c r="I29" s="236"/>
      <c r="J29" s="239"/>
      <c r="K29" s="240"/>
      <c r="L29" s="241"/>
      <c r="M29" s="242"/>
      <c r="N29" s="191">
        <f t="shared" si="0"/>
        <v>0</v>
      </c>
      <c r="O29" s="216">
        <f t="shared" si="1"/>
        <v>0</v>
      </c>
      <c r="P29" s="140"/>
      <c r="Q29" s="141"/>
      <c r="R29" s="141"/>
    </row>
    <row r="30" spans="1:18">
      <c r="A30" s="275" t="s">
        <v>113</v>
      </c>
      <c r="B30" s="226">
        <v>1</v>
      </c>
      <c r="C30" s="227"/>
      <c r="D30" s="218"/>
      <c r="E30" s="217">
        <v>1</v>
      </c>
      <c r="F30" s="227"/>
      <c r="G30" s="228">
        <v>1</v>
      </c>
      <c r="H30" s="226">
        <v>1</v>
      </c>
      <c r="I30" s="227"/>
      <c r="J30" s="231"/>
      <c r="K30" s="245">
        <v>2</v>
      </c>
      <c r="L30" s="233"/>
      <c r="M30" s="234"/>
      <c r="N30" s="191">
        <f t="shared" si="0"/>
        <v>2</v>
      </c>
      <c r="O30" s="216">
        <f t="shared" si="1"/>
        <v>6</v>
      </c>
      <c r="P30" s="137"/>
      <c r="Q30" s="138">
        <v>4</v>
      </c>
      <c r="R30" s="138">
        <v>2</v>
      </c>
    </row>
    <row r="31" spans="1:18">
      <c r="A31" s="274"/>
      <c r="B31" s="235"/>
      <c r="C31" s="236"/>
      <c r="D31" s="237"/>
      <c r="E31" s="235"/>
      <c r="F31" s="236"/>
      <c r="G31" s="237"/>
      <c r="H31" s="235"/>
      <c r="I31" s="236"/>
      <c r="J31" s="239"/>
      <c r="K31" s="240"/>
      <c r="L31" s="241"/>
      <c r="M31" s="242"/>
      <c r="N31" s="191">
        <f t="shared" si="0"/>
        <v>0</v>
      </c>
      <c r="O31" s="216">
        <f t="shared" si="1"/>
        <v>0</v>
      </c>
      <c r="P31" s="140"/>
      <c r="Q31" s="141"/>
      <c r="R31" s="141"/>
    </row>
    <row r="32" spans="1:18" ht="13">
      <c r="A32" s="277"/>
      <c r="B32" s="220"/>
      <c r="C32" s="220"/>
      <c r="D32" s="220"/>
      <c r="E32" s="220"/>
      <c r="F32" s="220"/>
      <c r="G32" s="221"/>
      <c r="H32" s="220"/>
      <c r="I32" s="221"/>
      <c r="J32" s="222"/>
      <c r="K32" s="223"/>
      <c r="L32" s="224"/>
      <c r="M32" s="225" t="s">
        <v>114</v>
      </c>
      <c r="N32" s="192">
        <f>SUM(N3:N31)</f>
        <v>7</v>
      </c>
      <c r="O32" s="192">
        <f>SUM(O3:O31)</f>
        <v>55.5</v>
      </c>
      <c r="P32" s="148">
        <f>SUM(P3:P31)</f>
        <v>15</v>
      </c>
      <c r="Q32" s="148">
        <f>SUM(Q3:Q31)</f>
        <v>24</v>
      </c>
      <c r="R32" s="148">
        <f>SUM(R3:R31)</f>
        <v>20</v>
      </c>
    </row>
    <row r="33" spans="1:17" ht="13">
      <c r="A33" s="278"/>
      <c r="B33" s="150"/>
      <c r="C33" s="150"/>
      <c r="D33" s="150"/>
      <c r="E33" s="150"/>
      <c r="F33" s="150"/>
      <c r="H33" s="150"/>
      <c r="I33" s="150"/>
      <c r="J33" s="151"/>
      <c r="K33" s="152"/>
      <c r="L33" s="261" t="s">
        <v>163</v>
      </c>
      <c r="M33" s="260"/>
      <c r="N33" s="153"/>
      <c r="O33" s="153"/>
      <c r="P33" s="150"/>
      <c r="Q33" s="150"/>
    </row>
    <row r="34" spans="1:17" ht="13">
      <c r="A34" s="279"/>
      <c r="B34" s="154"/>
      <c r="C34" s="150"/>
      <c r="D34" s="150"/>
      <c r="E34" s="150"/>
      <c r="F34" s="150"/>
      <c r="G34" s="150"/>
      <c r="H34" s="150"/>
      <c r="I34" s="150"/>
      <c r="J34" s="150"/>
      <c r="K34" s="150"/>
      <c r="L34" s="329" t="s">
        <v>192</v>
      </c>
      <c r="M34" s="150"/>
      <c r="N34" s="153"/>
      <c r="O34" s="153"/>
      <c r="P34" s="150"/>
      <c r="Q34" s="150"/>
    </row>
    <row r="35" spans="1:17">
      <c r="A35" s="279"/>
      <c r="B35" s="150"/>
      <c r="C35" s="150"/>
      <c r="D35" s="150"/>
      <c r="E35" s="150"/>
      <c r="F35" s="150"/>
      <c r="G35" s="150"/>
      <c r="H35" s="150"/>
      <c r="I35" s="150"/>
      <c r="J35" s="150"/>
      <c r="K35" s="150"/>
      <c r="L35" s="150"/>
      <c r="M35" s="150"/>
      <c r="N35" s="153"/>
      <c r="O35" s="153"/>
      <c r="P35" s="150"/>
      <c r="Q35" s="150"/>
    </row>
    <row r="36" spans="1:17">
      <c r="A36" s="61"/>
      <c r="B36" s="150"/>
      <c r="C36" s="150"/>
      <c r="D36" s="150"/>
      <c r="E36" s="150"/>
      <c r="F36" s="150"/>
      <c r="G36" s="150"/>
      <c r="H36" s="150"/>
      <c r="I36" s="150"/>
      <c r="J36" s="150"/>
      <c r="K36" s="150"/>
      <c r="L36" s="150"/>
      <c r="M36" s="150"/>
      <c r="N36" s="153"/>
      <c r="O36" s="153"/>
      <c r="P36" s="150"/>
      <c r="Q36" s="150"/>
    </row>
  </sheetData>
  <mergeCells count="3">
    <mergeCell ref="B1:J1"/>
    <mergeCell ref="K1:M1"/>
    <mergeCell ref="P1:R1"/>
  </mergeCells>
  <printOptions horizontalCentered="1" verticalCentered="1"/>
  <pageMargins left="0.3" right="0" top="0.1" bottom="0" header="0.4" footer="0.25"/>
  <pageSetup scale="60" pageOrder="overThenDown" orientation="portrait" r:id="rId1"/>
  <headerFooter alignWithMargins="0">
    <oddFooter xml:space="preserve">&amp;L&amp;8Originator: Sales Operations - Vehicle Programming
&amp;Z&amp;F&amp;C&amp;"Arial,Bold"&amp;12&amp;UFORD MOTOR COMPANY PROPRIETARY&amp;"Arial,Regular"&amp;8&amp;U
Page &amp;P of &amp;N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36"/>
  <sheetViews>
    <sheetView workbookViewId="0"/>
  </sheetViews>
  <sheetFormatPr defaultRowHeight="12.5"/>
  <cols>
    <col min="1" max="1" width="20.26953125" style="280" customWidth="1"/>
    <col min="6" max="6" width="12.81640625" customWidth="1"/>
    <col min="14" max="14" width="13.26953125" hidden="1" customWidth="1"/>
    <col min="15" max="15" width="13.26953125" customWidth="1"/>
    <col min="17" max="17" width="10.453125" customWidth="1"/>
  </cols>
  <sheetData>
    <row r="1" spans="1:21" ht="13">
      <c r="A1" s="271"/>
      <c r="B1" s="670" t="s">
        <v>195</v>
      </c>
      <c r="C1" s="670"/>
      <c r="D1" s="670"/>
      <c r="E1" s="670"/>
      <c r="F1" s="670"/>
      <c r="G1" s="670"/>
      <c r="H1" s="670"/>
      <c r="I1" s="670"/>
      <c r="J1" s="670"/>
      <c r="K1" s="671"/>
      <c r="L1" s="672"/>
      <c r="M1" s="672"/>
      <c r="N1" s="125"/>
      <c r="O1" s="125" t="s">
        <v>195</v>
      </c>
      <c r="P1" s="673" t="s">
        <v>93</v>
      </c>
      <c r="Q1" s="674"/>
      <c r="R1" s="674"/>
    </row>
    <row r="2" spans="1:21" ht="13.5" thickBot="1">
      <c r="A2" s="272"/>
      <c r="B2" s="127" t="s">
        <v>94</v>
      </c>
      <c r="C2" s="128" t="s">
        <v>95</v>
      </c>
      <c r="D2" s="129" t="s">
        <v>96</v>
      </c>
      <c r="E2" s="130" t="s">
        <v>87</v>
      </c>
      <c r="F2" s="128" t="s">
        <v>88</v>
      </c>
      <c r="G2" s="129" t="s">
        <v>97</v>
      </c>
      <c r="H2" s="130" t="s">
        <v>98</v>
      </c>
      <c r="I2" s="128" t="s">
        <v>90</v>
      </c>
      <c r="J2" s="211" t="s">
        <v>99</v>
      </c>
      <c r="K2" s="212" t="s">
        <v>100</v>
      </c>
      <c r="L2" s="132" t="s">
        <v>43</v>
      </c>
      <c r="M2" s="131" t="s">
        <v>101</v>
      </c>
      <c r="N2" s="133" t="s">
        <v>157</v>
      </c>
      <c r="O2" s="215" t="s">
        <v>196</v>
      </c>
      <c r="P2" s="134" t="s">
        <v>160</v>
      </c>
      <c r="Q2" s="135" t="s">
        <v>161</v>
      </c>
      <c r="R2" s="259" t="s">
        <v>162</v>
      </c>
    </row>
    <row r="3" spans="1:21" ht="13" thickTop="1">
      <c r="A3" s="273" t="s">
        <v>170</v>
      </c>
      <c r="B3" s="226"/>
      <c r="C3" s="227"/>
      <c r="D3" s="228"/>
      <c r="E3" s="226"/>
      <c r="F3" s="229"/>
      <c r="G3" s="230"/>
      <c r="H3" s="226">
        <v>1</v>
      </c>
      <c r="I3" s="227">
        <v>1</v>
      </c>
      <c r="J3" s="231"/>
      <c r="K3" s="232">
        <v>1</v>
      </c>
      <c r="L3" s="233"/>
      <c r="M3" s="234"/>
      <c r="N3" s="191">
        <f>SUM(K3:M3)</f>
        <v>1</v>
      </c>
      <c r="O3" s="216">
        <f>SUM(B3:M3)</f>
        <v>3</v>
      </c>
      <c r="P3" s="137">
        <v>1</v>
      </c>
      <c r="Q3" s="263"/>
      <c r="R3" s="138">
        <v>2</v>
      </c>
    </row>
    <row r="4" spans="1:21">
      <c r="A4" s="274"/>
      <c r="B4" s="235"/>
      <c r="C4" s="236"/>
      <c r="D4" s="237"/>
      <c r="E4" s="235"/>
      <c r="F4" s="238"/>
      <c r="G4" s="237"/>
      <c r="H4" s="235"/>
      <c r="I4" s="236"/>
      <c r="J4" s="239"/>
      <c r="K4" s="240"/>
      <c r="L4" s="241"/>
      <c r="M4" s="242"/>
      <c r="N4" s="191">
        <f t="shared" ref="N4:N31" si="0">SUM(K4:M4)</f>
        <v>0</v>
      </c>
      <c r="O4" s="216">
        <f t="shared" ref="O4:O31" si="1">SUM(B4:M4)</f>
        <v>0</v>
      </c>
      <c r="P4" s="140"/>
      <c r="Q4" s="141"/>
      <c r="R4" s="141"/>
    </row>
    <row r="5" spans="1:21">
      <c r="A5" s="275" t="s">
        <v>102</v>
      </c>
      <c r="B5" s="226"/>
      <c r="C5" s="243"/>
      <c r="D5" s="228"/>
      <c r="E5" s="244"/>
      <c r="F5" s="229"/>
      <c r="G5" s="230"/>
      <c r="H5" s="226">
        <v>1</v>
      </c>
      <c r="I5" s="227"/>
      <c r="J5" s="231"/>
      <c r="K5" s="245"/>
      <c r="L5" s="246"/>
      <c r="M5" s="234"/>
      <c r="N5" s="191">
        <f t="shared" si="0"/>
        <v>0</v>
      </c>
      <c r="O5" s="216">
        <f t="shared" si="1"/>
        <v>1</v>
      </c>
      <c r="P5" s="137"/>
      <c r="Q5" s="138"/>
      <c r="R5" s="138">
        <v>1</v>
      </c>
    </row>
    <row r="6" spans="1:21">
      <c r="A6" s="274"/>
      <c r="B6" s="235"/>
      <c r="C6" s="236"/>
      <c r="D6" s="237"/>
      <c r="E6" s="235"/>
      <c r="F6" s="236"/>
      <c r="G6" s="237"/>
      <c r="H6" s="235"/>
      <c r="I6" s="236"/>
      <c r="J6" s="239"/>
      <c r="K6" s="240"/>
      <c r="L6" s="241"/>
      <c r="M6" s="242"/>
      <c r="N6" s="191">
        <f t="shared" si="0"/>
        <v>0</v>
      </c>
      <c r="O6" s="216">
        <f t="shared" si="1"/>
        <v>0</v>
      </c>
      <c r="P6" s="140"/>
      <c r="Q6" s="141"/>
      <c r="R6" s="141"/>
    </row>
    <row r="7" spans="1:21">
      <c r="A7" s="275" t="s">
        <v>103</v>
      </c>
      <c r="B7" s="226"/>
      <c r="C7" s="243">
        <v>1</v>
      </c>
      <c r="D7" s="228">
        <v>1</v>
      </c>
      <c r="E7" s="219">
        <v>1</v>
      </c>
      <c r="F7" s="229">
        <v>2</v>
      </c>
      <c r="G7" s="230">
        <v>2</v>
      </c>
      <c r="H7" s="226">
        <v>1</v>
      </c>
      <c r="I7" s="227">
        <v>1</v>
      </c>
      <c r="J7" s="231">
        <v>1</v>
      </c>
      <c r="K7" s="245">
        <v>1</v>
      </c>
      <c r="L7" s="246">
        <v>1</v>
      </c>
      <c r="M7" s="234"/>
      <c r="N7" s="191">
        <f t="shared" si="0"/>
        <v>2</v>
      </c>
      <c r="O7" s="216">
        <f t="shared" si="1"/>
        <v>12</v>
      </c>
      <c r="P7" s="137">
        <v>1</v>
      </c>
      <c r="Q7" s="138">
        <v>8</v>
      </c>
      <c r="R7" s="138">
        <v>4</v>
      </c>
    </row>
    <row r="8" spans="1:21">
      <c r="A8" s="274"/>
      <c r="B8" s="235"/>
      <c r="C8" s="236"/>
      <c r="D8" s="237"/>
      <c r="E8" s="235"/>
      <c r="F8" s="236"/>
      <c r="G8" s="237"/>
      <c r="H8" s="235"/>
      <c r="I8" s="236"/>
      <c r="J8" s="239"/>
      <c r="K8" s="240"/>
      <c r="L8" s="241"/>
      <c r="M8" s="242"/>
      <c r="N8" s="191">
        <f t="shared" si="0"/>
        <v>0</v>
      </c>
      <c r="O8" s="216">
        <f t="shared" si="1"/>
        <v>0</v>
      </c>
      <c r="P8" s="140"/>
      <c r="Q8" s="270"/>
      <c r="R8" s="141"/>
    </row>
    <row r="9" spans="1:21">
      <c r="A9" s="275" t="s">
        <v>104</v>
      </c>
      <c r="B9" s="226"/>
      <c r="C9" s="227"/>
      <c r="D9" s="228"/>
      <c r="E9" s="244"/>
      <c r="F9" s="229"/>
      <c r="G9" s="230"/>
      <c r="H9" s="226"/>
      <c r="I9" s="227"/>
      <c r="J9" s="231"/>
      <c r="K9" s="245"/>
      <c r="L9" s="233"/>
      <c r="M9" s="234"/>
      <c r="N9" s="191">
        <f t="shared" si="0"/>
        <v>0</v>
      </c>
      <c r="O9" s="216">
        <f t="shared" si="1"/>
        <v>0</v>
      </c>
      <c r="P9" s="137"/>
      <c r="Q9" s="138"/>
      <c r="R9" s="138"/>
    </row>
    <row r="10" spans="1:21">
      <c r="A10" s="274"/>
      <c r="B10" s="235"/>
      <c r="C10" s="236"/>
      <c r="D10" s="237"/>
      <c r="E10" s="235"/>
      <c r="F10" s="236"/>
      <c r="G10" s="237"/>
      <c r="H10" s="235"/>
      <c r="I10" s="236"/>
      <c r="J10" s="239"/>
      <c r="K10" s="240"/>
      <c r="L10" s="241"/>
      <c r="M10" s="242"/>
      <c r="N10" s="191">
        <f t="shared" si="0"/>
        <v>0</v>
      </c>
      <c r="O10" s="216">
        <f t="shared" si="1"/>
        <v>0</v>
      </c>
      <c r="P10" s="140"/>
      <c r="Q10" s="141"/>
      <c r="R10" s="141"/>
    </row>
    <row r="11" spans="1:21">
      <c r="A11" s="275" t="s">
        <v>105</v>
      </c>
      <c r="B11" s="226">
        <v>1</v>
      </c>
      <c r="C11" s="227"/>
      <c r="D11" s="228"/>
      <c r="E11" s="244"/>
      <c r="F11" s="229"/>
      <c r="G11" s="230"/>
      <c r="H11" s="226">
        <v>1</v>
      </c>
      <c r="I11" s="227">
        <v>1</v>
      </c>
      <c r="J11" s="231"/>
      <c r="K11" s="245">
        <v>1</v>
      </c>
      <c r="L11" s="246">
        <v>1</v>
      </c>
      <c r="M11" s="234">
        <v>1</v>
      </c>
      <c r="N11" s="191">
        <f t="shared" si="0"/>
        <v>3</v>
      </c>
      <c r="O11" s="216">
        <f t="shared" si="1"/>
        <v>6</v>
      </c>
      <c r="P11" s="137"/>
      <c r="Q11" s="138">
        <v>1</v>
      </c>
      <c r="R11" s="138">
        <v>2</v>
      </c>
    </row>
    <row r="12" spans="1:21">
      <c r="A12" s="274"/>
      <c r="B12" s="235"/>
      <c r="C12" s="236"/>
      <c r="D12" s="237"/>
      <c r="E12" s="235"/>
      <c r="F12" s="236"/>
      <c r="G12" s="237"/>
      <c r="H12" s="235"/>
      <c r="I12" s="236"/>
      <c r="J12" s="239"/>
      <c r="K12" s="240"/>
      <c r="L12" s="241"/>
      <c r="M12" s="242"/>
      <c r="N12" s="191">
        <f t="shared" si="0"/>
        <v>0</v>
      </c>
      <c r="O12" s="216">
        <f t="shared" si="1"/>
        <v>0</v>
      </c>
      <c r="P12" s="140"/>
      <c r="Q12" s="141"/>
      <c r="R12" s="141"/>
    </row>
    <row r="13" spans="1:21">
      <c r="A13" s="275" t="s">
        <v>106</v>
      </c>
      <c r="B13" s="226"/>
      <c r="C13" s="227"/>
      <c r="D13" s="228"/>
      <c r="E13" s="219"/>
      <c r="F13" s="229">
        <v>1</v>
      </c>
      <c r="G13" s="230"/>
      <c r="H13" s="226">
        <v>1</v>
      </c>
      <c r="I13" s="227">
        <v>1</v>
      </c>
      <c r="J13" s="231">
        <v>2</v>
      </c>
      <c r="K13" s="245">
        <v>2</v>
      </c>
      <c r="L13" s="233" t="s">
        <v>229</v>
      </c>
      <c r="M13" s="234"/>
      <c r="N13" s="191">
        <f t="shared" si="0"/>
        <v>2</v>
      </c>
      <c r="O13" s="216" t="str">
        <f>SUM(B13:M13)&amp;"/4**"</f>
        <v>7/4**</v>
      </c>
      <c r="P13" s="137"/>
      <c r="Q13" s="398" t="s">
        <v>237</v>
      </c>
      <c r="R13" s="138">
        <v>2</v>
      </c>
    </row>
    <row r="14" spans="1:21">
      <c r="A14" s="274"/>
      <c r="B14" s="235"/>
      <c r="C14" s="236"/>
      <c r="D14" s="237"/>
      <c r="E14" s="235"/>
      <c r="F14" s="236"/>
      <c r="G14" s="237"/>
      <c r="H14" s="235"/>
      <c r="I14" s="236"/>
      <c r="J14" s="239"/>
      <c r="K14" s="240"/>
      <c r="L14" s="241"/>
      <c r="M14" s="242"/>
      <c r="N14" s="191">
        <f t="shared" si="0"/>
        <v>0</v>
      </c>
      <c r="O14" s="216">
        <f t="shared" si="1"/>
        <v>0</v>
      </c>
      <c r="P14" s="140"/>
      <c r="Q14" s="141"/>
      <c r="R14" s="141"/>
    </row>
    <row r="15" spans="1:21">
      <c r="A15" s="276" t="s">
        <v>155</v>
      </c>
      <c r="B15" s="247"/>
      <c r="C15" s="248"/>
      <c r="D15" s="249"/>
      <c r="E15" s="247"/>
      <c r="F15" s="248"/>
      <c r="G15" s="249"/>
      <c r="H15" s="247">
        <v>2</v>
      </c>
      <c r="I15" s="248"/>
      <c r="J15" s="247"/>
      <c r="K15" s="250"/>
      <c r="L15" s="251"/>
      <c r="M15" s="252"/>
      <c r="N15" s="191">
        <f t="shared" si="0"/>
        <v>0</v>
      </c>
      <c r="O15" s="216">
        <f t="shared" si="1"/>
        <v>2</v>
      </c>
      <c r="P15" s="144"/>
      <c r="Q15" s="145"/>
      <c r="R15" s="145">
        <v>2</v>
      </c>
      <c r="U15" s="324"/>
    </row>
    <row r="16" spans="1:21">
      <c r="A16" s="275" t="s">
        <v>107</v>
      </c>
      <c r="B16" s="226"/>
      <c r="C16" s="227"/>
      <c r="D16" s="228"/>
      <c r="E16" s="244"/>
      <c r="F16" s="229">
        <v>1</v>
      </c>
      <c r="G16" s="230"/>
      <c r="H16" s="226"/>
      <c r="I16" s="227" t="s">
        <v>228</v>
      </c>
      <c r="J16" s="231" t="s">
        <v>227</v>
      </c>
      <c r="K16" s="245" t="s">
        <v>229</v>
      </c>
      <c r="L16" s="233" t="s">
        <v>227</v>
      </c>
      <c r="M16" s="234"/>
      <c r="N16" s="191">
        <f t="shared" si="0"/>
        <v>0</v>
      </c>
      <c r="O16" s="216" t="s">
        <v>230</v>
      </c>
      <c r="P16" s="137"/>
      <c r="Q16" s="138" t="s">
        <v>230</v>
      </c>
      <c r="R16" s="138"/>
    </row>
    <row r="17" spans="1:18">
      <c r="A17" s="274"/>
      <c r="B17" s="235"/>
      <c r="C17" s="236"/>
      <c r="D17" s="237"/>
      <c r="E17" s="235"/>
      <c r="F17" s="236"/>
      <c r="G17" s="237"/>
      <c r="H17" s="235"/>
      <c r="I17" s="236"/>
      <c r="J17" s="239"/>
      <c r="K17" s="240"/>
      <c r="L17" s="241"/>
      <c r="M17" s="242"/>
      <c r="N17" s="191">
        <f t="shared" si="0"/>
        <v>0</v>
      </c>
      <c r="O17" s="216">
        <f t="shared" si="1"/>
        <v>0</v>
      </c>
      <c r="P17" s="140"/>
      <c r="Q17" s="146"/>
      <c r="R17" s="146"/>
    </row>
    <row r="18" spans="1:18">
      <c r="A18" s="275" t="s">
        <v>108</v>
      </c>
      <c r="B18" s="253"/>
      <c r="C18" s="227"/>
      <c r="D18" s="228"/>
      <c r="E18" s="226"/>
      <c r="F18" s="243"/>
      <c r="G18" s="228"/>
      <c r="H18" s="226">
        <v>1</v>
      </c>
      <c r="I18" s="227"/>
      <c r="J18" s="231"/>
      <c r="K18" s="245"/>
      <c r="L18" s="233"/>
      <c r="M18" s="228"/>
      <c r="N18" s="191">
        <f t="shared" si="0"/>
        <v>0</v>
      </c>
      <c r="O18" s="216">
        <f t="shared" si="1"/>
        <v>1</v>
      </c>
      <c r="P18" s="137"/>
      <c r="Q18" s="138"/>
      <c r="R18" s="138">
        <v>1</v>
      </c>
    </row>
    <row r="19" spans="1:18">
      <c r="A19" s="274"/>
      <c r="B19" s="235"/>
      <c r="C19" s="236"/>
      <c r="D19" s="237"/>
      <c r="E19" s="235"/>
      <c r="F19" s="236"/>
      <c r="G19" s="237"/>
      <c r="H19" s="235"/>
      <c r="I19" s="236"/>
      <c r="J19" s="239"/>
      <c r="K19" s="240"/>
      <c r="L19" s="241"/>
      <c r="M19" s="242"/>
      <c r="N19" s="191">
        <f t="shared" si="0"/>
        <v>0</v>
      </c>
      <c r="O19" s="216">
        <f t="shared" si="1"/>
        <v>0</v>
      </c>
      <c r="P19" s="140"/>
      <c r="Q19" s="146"/>
      <c r="R19" s="146"/>
    </row>
    <row r="20" spans="1:18">
      <c r="A20" s="275" t="s">
        <v>109</v>
      </c>
      <c r="B20" s="226"/>
      <c r="C20" s="227"/>
      <c r="D20" s="228"/>
      <c r="E20" s="244"/>
      <c r="F20" s="229"/>
      <c r="G20" s="230"/>
      <c r="H20" s="244">
        <v>1</v>
      </c>
      <c r="I20" s="227"/>
      <c r="J20" s="231"/>
      <c r="K20" s="245">
        <v>1</v>
      </c>
      <c r="L20" s="233">
        <v>1</v>
      </c>
      <c r="M20" s="234"/>
      <c r="N20" s="191">
        <f t="shared" si="0"/>
        <v>2</v>
      </c>
      <c r="O20" s="216">
        <f t="shared" si="1"/>
        <v>3</v>
      </c>
      <c r="P20" s="137"/>
      <c r="Q20" s="138">
        <v>2</v>
      </c>
      <c r="R20" s="138">
        <v>1</v>
      </c>
    </row>
    <row r="21" spans="1:18">
      <c r="A21" s="274"/>
      <c r="B21" s="235"/>
      <c r="C21" s="236"/>
      <c r="D21" s="237"/>
      <c r="E21" s="235"/>
      <c r="F21" s="236"/>
      <c r="G21" s="237"/>
      <c r="H21" s="235"/>
      <c r="I21" s="236"/>
      <c r="J21" s="239"/>
      <c r="K21" s="240"/>
      <c r="L21" s="241"/>
      <c r="M21" s="242"/>
      <c r="N21" s="191">
        <f t="shared" si="0"/>
        <v>0</v>
      </c>
      <c r="O21" s="216">
        <f t="shared" si="1"/>
        <v>0</v>
      </c>
      <c r="P21" s="140"/>
      <c r="Q21" s="141"/>
      <c r="R21" s="141"/>
    </row>
    <row r="22" spans="1:18">
      <c r="A22" s="275" t="s">
        <v>110</v>
      </c>
      <c r="B22" s="226"/>
      <c r="C22" s="227"/>
      <c r="D22" s="218"/>
      <c r="E22" s="219"/>
      <c r="F22" s="229"/>
      <c r="G22" s="230"/>
      <c r="H22" s="226">
        <v>1</v>
      </c>
      <c r="I22" s="227"/>
      <c r="J22" s="231"/>
      <c r="K22" s="245"/>
      <c r="L22" s="233"/>
      <c r="M22" s="234"/>
      <c r="N22" s="191">
        <f t="shared" si="0"/>
        <v>0</v>
      </c>
      <c r="O22" s="216">
        <f t="shared" si="1"/>
        <v>1</v>
      </c>
      <c r="P22" s="137"/>
      <c r="Q22" s="138"/>
      <c r="R22" s="138">
        <v>1</v>
      </c>
    </row>
    <row r="23" spans="1:18">
      <c r="A23" s="274"/>
      <c r="B23" s="235"/>
      <c r="C23" s="236"/>
      <c r="D23" s="237"/>
      <c r="E23" s="235"/>
      <c r="F23" s="236"/>
      <c r="G23" s="237"/>
      <c r="H23" s="235"/>
      <c r="I23" s="236"/>
      <c r="J23" s="239"/>
      <c r="K23" s="240"/>
      <c r="L23" s="241"/>
      <c r="M23" s="242"/>
      <c r="N23" s="191">
        <f t="shared" si="0"/>
        <v>0</v>
      </c>
      <c r="O23" s="216">
        <f t="shared" si="1"/>
        <v>0</v>
      </c>
      <c r="P23" s="140"/>
      <c r="Q23" s="141"/>
      <c r="R23" s="141"/>
    </row>
    <row r="24" spans="1:18">
      <c r="A24" s="275" t="s">
        <v>111</v>
      </c>
      <c r="B24" s="226"/>
      <c r="C24" s="227"/>
      <c r="D24" s="228"/>
      <c r="E24" s="244"/>
      <c r="F24" s="229"/>
      <c r="G24" s="228">
        <v>1</v>
      </c>
      <c r="H24" s="217">
        <v>1</v>
      </c>
      <c r="I24" s="227"/>
      <c r="J24" s="231"/>
      <c r="K24" s="245"/>
      <c r="L24" s="233"/>
      <c r="M24" s="234"/>
      <c r="N24" s="191">
        <f t="shared" si="0"/>
        <v>0</v>
      </c>
      <c r="O24" s="216">
        <f t="shared" si="1"/>
        <v>2</v>
      </c>
      <c r="P24" s="137"/>
      <c r="Q24" s="138"/>
      <c r="R24" s="138">
        <v>2</v>
      </c>
    </row>
    <row r="25" spans="1:18" hidden="1">
      <c r="A25" s="274"/>
      <c r="B25" s="235"/>
      <c r="C25" s="236"/>
      <c r="D25" s="237"/>
      <c r="E25" s="235"/>
      <c r="F25" s="236"/>
      <c r="G25" s="237"/>
      <c r="H25" s="235"/>
      <c r="I25" s="236"/>
      <c r="J25" s="239"/>
      <c r="K25" s="240"/>
      <c r="L25" s="241"/>
      <c r="M25" s="242"/>
      <c r="N25" s="191">
        <f t="shared" si="0"/>
        <v>0</v>
      </c>
      <c r="O25" s="216">
        <f t="shared" si="1"/>
        <v>0</v>
      </c>
      <c r="P25" s="140"/>
      <c r="Q25" s="141"/>
      <c r="R25" s="141"/>
    </row>
    <row r="26" spans="1:18" hidden="1">
      <c r="A26" s="275" t="s">
        <v>112</v>
      </c>
      <c r="B26" s="226"/>
      <c r="C26" s="227"/>
      <c r="D26" s="228"/>
      <c r="E26" s="226"/>
      <c r="F26" s="227"/>
      <c r="G26" s="228"/>
      <c r="H26" s="253"/>
      <c r="I26" s="227"/>
      <c r="J26" s="231"/>
      <c r="K26" s="245"/>
      <c r="L26" s="233"/>
      <c r="M26" s="234"/>
      <c r="N26" s="191">
        <f t="shared" si="0"/>
        <v>0</v>
      </c>
      <c r="O26" s="216">
        <f t="shared" si="1"/>
        <v>0</v>
      </c>
      <c r="P26" s="137"/>
      <c r="Q26" s="138"/>
      <c r="R26" s="138"/>
    </row>
    <row r="27" spans="1:18" hidden="1">
      <c r="A27" s="274"/>
      <c r="B27" s="235"/>
      <c r="C27" s="236"/>
      <c r="D27" s="237"/>
      <c r="E27" s="235"/>
      <c r="F27" s="236"/>
      <c r="G27" s="237"/>
      <c r="H27" s="235"/>
      <c r="I27" s="236"/>
      <c r="J27" s="239"/>
      <c r="K27" s="240"/>
      <c r="L27" s="241"/>
      <c r="M27" s="242"/>
      <c r="N27" s="191">
        <f t="shared" si="0"/>
        <v>0</v>
      </c>
      <c r="O27" s="216">
        <f t="shared" si="1"/>
        <v>0</v>
      </c>
      <c r="P27" s="140"/>
      <c r="Q27" s="141"/>
      <c r="R27" s="141"/>
    </row>
    <row r="28" spans="1:18" hidden="1">
      <c r="A28" s="275" t="s">
        <v>118</v>
      </c>
      <c r="B28" s="226"/>
      <c r="C28" s="227"/>
      <c r="D28" s="228"/>
      <c r="E28" s="226"/>
      <c r="F28" s="227"/>
      <c r="G28" s="228"/>
      <c r="H28" s="226"/>
      <c r="I28" s="227"/>
      <c r="J28" s="231"/>
      <c r="K28" s="245"/>
      <c r="L28" s="233"/>
      <c r="M28" s="234"/>
      <c r="N28" s="191">
        <f t="shared" si="0"/>
        <v>0</v>
      </c>
      <c r="O28" s="216">
        <f t="shared" si="1"/>
        <v>0</v>
      </c>
      <c r="P28" s="137"/>
      <c r="Q28" s="138"/>
      <c r="R28" s="138"/>
    </row>
    <row r="29" spans="1:18">
      <c r="A29" s="274"/>
      <c r="B29" s="235"/>
      <c r="C29" s="236"/>
      <c r="D29" s="237"/>
      <c r="E29" s="235"/>
      <c r="F29" s="236"/>
      <c r="G29" s="237"/>
      <c r="H29" s="235"/>
      <c r="I29" s="236"/>
      <c r="J29" s="239"/>
      <c r="K29" s="240"/>
      <c r="L29" s="241"/>
      <c r="M29" s="242"/>
      <c r="N29" s="191">
        <f t="shared" si="0"/>
        <v>0</v>
      </c>
      <c r="O29" s="216">
        <f t="shared" si="1"/>
        <v>0</v>
      </c>
      <c r="P29" s="140"/>
      <c r="Q29" s="141"/>
      <c r="R29" s="141"/>
    </row>
    <row r="30" spans="1:18">
      <c r="A30" s="275" t="s">
        <v>113</v>
      </c>
      <c r="B30" s="226"/>
      <c r="C30" s="227"/>
      <c r="D30" s="218">
        <v>1</v>
      </c>
      <c r="E30" s="217"/>
      <c r="F30" s="227"/>
      <c r="G30" s="228"/>
      <c r="H30" s="226">
        <v>2</v>
      </c>
      <c r="I30" s="227">
        <v>2</v>
      </c>
      <c r="J30" s="231">
        <v>2</v>
      </c>
      <c r="K30" s="245">
        <v>2</v>
      </c>
      <c r="L30" s="233"/>
      <c r="M30" s="234">
        <v>2</v>
      </c>
      <c r="N30" s="191">
        <f t="shared" si="0"/>
        <v>4</v>
      </c>
      <c r="O30" s="216">
        <f t="shared" si="1"/>
        <v>11</v>
      </c>
      <c r="P30" s="137"/>
      <c r="Q30" s="138">
        <v>9</v>
      </c>
      <c r="R30" s="138">
        <v>2</v>
      </c>
    </row>
    <row r="31" spans="1:18">
      <c r="A31" s="274"/>
      <c r="B31" s="235"/>
      <c r="C31" s="236"/>
      <c r="D31" s="237"/>
      <c r="E31" s="235"/>
      <c r="F31" s="236"/>
      <c r="G31" s="237"/>
      <c r="H31" s="235"/>
      <c r="I31" s="236"/>
      <c r="J31" s="239"/>
      <c r="K31" s="240"/>
      <c r="L31" s="241"/>
      <c r="M31" s="242"/>
      <c r="N31" s="191">
        <f t="shared" si="0"/>
        <v>0</v>
      </c>
      <c r="O31" s="216">
        <f t="shared" si="1"/>
        <v>0</v>
      </c>
      <c r="P31" s="140"/>
      <c r="Q31" s="141"/>
      <c r="R31" s="141"/>
    </row>
    <row r="32" spans="1:18" ht="13">
      <c r="A32" s="277"/>
      <c r="B32" s="220"/>
      <c r="C32" s="220"/>
      <c r="D32" s="220"/>
      <c r="E32" s="220"/>
      <c r="F32" s="220"/>
      <c r="G32" s="221"/>
      <c r="H32" s="220"/>
      <c r="I32" s="221"/>
      <c r="J32" s="222"/>
      <c r="K32" s="223"/>
      <c r="L32" s="224"/>
      <c r="M32" s="225" t="s">
        <v>114</v>
      </c>
      <c r="N32" s="192">
        <f>SUM(N3:N31)</f>
        <v>14</v>
      </c>
      <c r="O32" s="192">
        <f>SUM(O3:O31)</f>
        <v>42</v>
      </c>
      <c r="P32" s="148"/>
      <c r="Q32" s="148"/>
      <c r="R32" s="148"/>
    </row>
    <row r="33" spans="1:17" ht="13">
      <c r="A33" s="278"/>
      <c r="B33" s="150"/>
      <c r="C33" s="150"/>
      <c r="D33" s="150"/>
      <c r="E33" s="150"/>
      <c r="F33" s="150"/>
      <c r="H33" s="150"/>
      <c r="I33" s="150"/>
      <c r="J33" s="151"/>
      <c r="K33" s="152"/>
      <c r="L33" s="261" t="s">
        <v>163</v>
      </c>
      <c r="M33" s="260"/>
      <c r="N33" s="153"/>
      <c r="O33" s="153"/>
      <c r="P33" s="150"/>
      <c r="Q33" s="150"/>
    </row>
    <row r="34" spans="1:17" ht="13">
      <c r="A34" s="279"/>
      <c r="B34" s="154"/>
      <c r="C34" s="150"/>
      <c r="D34" s="150"/>
      <c r="E34" s="150"/>
      <c r="G34" s="150"/>
      <c r="H34" s="150"/>
      <c r="I34" s="150"/>
      <c r="J34" s="150"/>
      <c r="K34" s="150"/>
      <c r="L34" s="329" t="s">
        <v>192</v>
      </c>
      <c r="M34" s="150"/>
      <c r="N34" s="153"/>
      <c r="O34" s="153"/>
      <c r="P34" s="150"/>
      <c r="Q34" s="150"/>
    </row>
    <row r="35" spans="1:17">
      <c r="A35" s="279"/>
      <c r="B35" s="150"/>
      <c r="C35" s="150"/>
      <c r="D35" s="150"/>
      <c r="E35" s="150"/>
      <c r="F35" s="150"/>
      <c r="G35" s="150"/>
      <c r="H35" s="150"/>
      <c r="I35" s="150"/>
      <c r="J35" s="150"/>
      <c r="K35" s="150"/>
      <c r="L35" s="394" t="s">
        <v>235</v>
      </c>
      <c r="M35" s="150"/>
      <c r="N35" s="153"/>
      <c r="O35" s="153"/>
      <c r="P35" s="150"/>
      <c r="Q35" s="150"/>
    </row>
    <row r="36" spans="1:17">
      <c r="A36" s="61"/>
      <c r="B36" s="150"/>
      <c r="C36" s="150"/>
      <c r="D36" s="150"/>
      <c r="E36" s="150"/>
      <c r="F36" s="150"/>
      <c r="G36" s="150"/>
      <c r="H36" s="150"/>
      <c r="I36" s="150"/>
      <c r="J36" s="150"/>
      <c r="K36" s="150"/>
      <c r="L36" s="150"/>
      <c r="M36" s="150"/>
      <c r="N36" s="153"/>
      <c r="O36" s="153"/>
      <c r="P36" s="150"/>
      <c r="Q36" s="150"/>
    </row>
  </sheetData>
  <mergeCells count="3">
    <mergeCell ref="B1:J1"/>
    <mergeCell ref="K1:M1"/>
    <mergeCell ref="P1:R1"/>
  </mergeCells>
  <printOptions horizontalCentered="1" verticalCentered="1"/>
  <pageMargins left="0.3" right="0" top="0.1" bottom="0" header="0.4" footer="0.25"/>
  <pageSetup scale="60" pageOrder="overThenDown" orientation="portrait" r:id="rId1"/>
  <headerFooter alignWithMargins="0">
    <oddFooter xml:space="preserve">&amp;L&amp;8Originator: Sales Operations - Vehicle Programming
&amp;Z&amp;F&amp;C&amp;"Arial,Bold"&amp;12&amp;UFORD MOTOR COMPANY PROPRIETARY&amp;"Arial,Regular"&amp;8&amp;U
Page &amp;P of &amp;N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H126"/>
  <sheetViews>
    <sheetView topLeftCell="A19" zoomScaleNormal="100" workbookViewId="0">
      <selection activeCell="C35" sqref="C35"/>
    </sheetView>
  </sheetViews>
  <sheetFormatPr defaultColWidth="9.1796875" defaultRowHeight="12.5"/>
  <cols>
    <col min="1" max="1" width="15.54296875" style="94" customWidth="1"/>
    <col min="2" max="2" width="16.7265625" style="94" customWidth="1"/>
    <col min="3" max="3" width="110.1796875" style="94" customWidth="1"/>
    <col min="4" max="4" width="2.1796875" style="94" customWidth="1"/>
    <col min="5" max="16384" width="9.1796875" style="94"/>
  </cols>
  <sheetData>
    <row r="1" spans="1:5" ht="13">
      <c r="A1" s="677" t="s">
        <v>292</v>
      </c>
      <c r="B1" s="677"/>
      <c r="C1" s="677"/>
      <c r="D1" s="520"/>
    </row>
    <row r="2" spans="1:5" ht="13">
      <c r="A2" s="676">
        <f>'OP PLAN'!A2</f>
        <v>42961</v>
      </c>
      <c r="B2" s="676"/>
      <c r="C2" s="676"/>
      <c r="D2" s="519"/>
    </row>
    <row r="3" spans="1:5" ht="13.5" thickBot="1">
      <c r="A3" s="675" t="s">
        <v>79</v>
      </c>
      <c r="B3" s="675"/>
    </row>
    <row r="4" spans="1:5">
      <c r="A4" s="507" t="s">
        <v>78</v>
      </c>
      <c r="C4" s="680"/>
    </row>
    <row r="5" spans="1:5">
      <c r="A5" s="506"/>
      <c r="C5" s="680"/>
    </row>
    <row r="6" spans="1:5">
      <c r="C6" s="680"/>
    </row>
    <row r="7" spans="1:5" ht="13.5" thickBot="1">
      <c r="A7" s="678" t="s">
        <v>291</v>
      </c>
      <c r="B7" s="678"/>
    </row>
    <row r="8" spans="1:5" ht="12.75" customHeight="1">
      <c r="A8" s="513" t="s">
        <v>24</v>
      </c>
      <c r="C8" s="679" t="s">
        <v>343</v>
      </c>
      <c r="E8" s="517"/>
    </row>
    <row r="9" spans="1:5">
      <c r="C9" s="679"/>
      <c r="D9" s="518"/>
      <c r="E9" s="517"/>
    </row>
    <row r="10" spans="1:5">
      <c r="B10" s="506"/>
      <c r="C10" s="679"/>
    </row>
    <row r="11" spans="1:5" ht="13.5" thickBot="1">
      <c r="A11" s="675" t="s">
        <v>290</v>
      </c>
      <c r="B11" s="675"/>
      <c r="C11" s="508"/>
    </row>
    <row r="12" spans="1:5">
      <c r="A12" s="507" t="s">
        <v>66</v>
      </c>
      <c r="C12" s="516"/>
    </row>
    <row r="13" spans="1:5">
      <c r="B13" s="506"/>
    </row>
    <row r="14" spans="1:5">
      <c r="B14" s="512"/>
    </row>
    <row r="15" spans="1:5" ht="13.5" thickBot="1">
      <c r="A15" s="675" t="s">
        <v>289</v>
      </c>
      <c r="B15" s="675"/>
    </row>
    <row r="16" spans="1:5">
      <c r="A16" s="507" t="s">
        <v>118</v>
      </c>
      <c r="C16" s="515"/>
    </row>
    <row r="17" spans="1:4">
      <c r="B17" s="506"/>
    </row>
    <row r="18" spans="1:4">
      <c r="B18" s="506"/>
      <c r="D18" s="514"/>
    </row>
    <row r="19" spans="1:4" ht="13.5" thickBot="1">
      <c r="A19" s="678" t="s">
        <v>288</v>
      </c>
      <c r="B19" s="678"/>
      <c r="C19" s="508"/>
      <c r="D19" s="505"/>
    </row>
    <row r="20" spans="1:4">
      <c r="A20" s="513" t="s">
        <v>56</v>
      </c>
      <c r="D20" s="505"/>
    </row>
    <row r="21" spans="1:4">
      <c r="B21" s="512"/>
      <c r="D21" s="505"/>
    </row>
    <row r="22" spans="1:4">
      <c r="B22" s="512"/>
      <c r="D22" s="505"/>
    </row>
    <row r="23" spans="1:4" ht="13.5" thickBot="1">
      <c r="A23" s="675" t="s">
        <v>287</v>
      </c>
      <c r="B23" s="675"/>
      <c r="C23" s="508"/>
    </row>
    <row r="24" spans="1:4">
      <c r="A24" s="507" t="s">
        <v>41</v>
      </c>
    </row>
    <row r="25" spans="1:4">
      <c r="B25" s="506"/>
      <c r="C25" s="508"/>
    </row>
    <row r="26" spans="1:4">
      <c r="B26" s="506"/>
      <c r="C26" s="508"/>
    </row>
    <row r="27" spans="1:4" ht="13.5" thickBot="1">
      <c r="A27" s="675" t="s">
        <v>286</v>
      </c>
      <c r="B27" s="675"/>
    </row>
    <row r="28" spans="1:4" ht="12.75" customHeight="1">
      <c r="A28" s="507" t="s">
        <v>85</v>
      </c>
      <c r="C28" s="531"/>
    </row>
    <row r="29" spans="1:4" ht="37.5">
      <c r="C29" s="531" t="s">
        <v>348</v>
      </c>
    </row>
    <row r="30" spans="1:4">
      <c r="C30" s="508"/>
    </row>
    <row r="31" spans="1:4" ht="13.5" thickBot="1">
      <c r="A31" s="678" t="s">
        <v>82</v>
      </c>
      <c r="B31" s="678"/>
      <c r="D31" s="506"/>
    </row>
    <row r="32" spans="1:4">
      <c r="A32" s="513" t="s">
        <v>26</v>
      </c>
      <c r="C32" s="508" t="s">
        <v>351</v>
      </c>
      <c r="D32" s="506"/>
    </row>
    <row r="33" spans="1:4">
      <c r="B33" s="512"/>
      <c r="C33" s="508"/>
      <c r="D33" s="506"/>
    </row>
    <row r="34" spans="1:4">
      <c r="B34" s="512"/>
      <c r="C34" s="508"/>
      <c r="D34" s="506"/>
    </row>
    <row r="35" spans="1:4" ht="13.5" thickBot="1">
      <c r="A35" s="675" t="s">
        <v>285</v>
      </c>
      <c r="B35" s="675"/>
      <c r="D35" s="506"/>
    </row>
    <row r="36" spans="1:4">
      <c r="A36" s="507" t="s">
        <v>23</v>
      </c>
      <c r="C36" s="94" t="s">
        <v>349</v>
      </c>
      <c r="D36" s="506"/>
    </row>
    <row r="37" spans="1:4" ht="12" customHeight="1">
      <c r="A37" s="506"/>
      <c r="D37" s="506"/>
    </row>
    <row r="38" spans="1:4">
      <c r="A38" s="506"/>
      <c r="C38" s="511"/>
      <c r="D38" s="506"/>
    </row>
    <row r="39" spans="1:4" ht="13.5" thickBot="1">
      <c r="A39" s="675" t="s">
        <v>284</v>
      </c>
      <c r="B39" s="675"/>
    </row>
    <row r="40" spans="1:4">
      <c r="A40" s="507" t="s">
        <v>283</v>
      </c>
      <c r="C40" s="531" t="s">
        <v>344</v>
      </c>
    </row>
    <row r="41" spans="1:4">
      <c r="C41" s="531"/>
    </row>
    <row r="42" spans="1:4">
      <c r="C42" s="508"/>
    </row>
    <row r="43" spans="1:4" ht="12.75" customHeight="1" thickBot="1">
      <c r="A43" s="510" t="s">
        <v>282</v>
      </c>
      <c r="B43" s="510"/>
    </row>
    <row r="44" spans="1:4">
      <c r="A44" s="507" t="s">
        <v>48</v>
      </c>
      <c r="C44" s="160"/>
    </row>
    <row r="45" spans="1:4">
      <c r="A45" s="506"/>
    </row>
    <row r="46" spans="1:4">
      <c r="C46" s="508"/>
    </row>
    <row r="47" spans="1:4">
      <c r="C47" s="509"/>
    </row>
    <row r="48" spans="1:4">
      <c r="A48" s="507" t="s">
        <v>25</v>
      </c>
      <c r="C48" s="160"/>
      <c r="D48" s="506"/>
    </row>
    <row r="49" spans="1:5">
      <c r="A49" s="506"/>
      <c r="C49" s="160" t="s">
        <v>342</v>
      </c>
    </row>
    <row r="50" spans="1:5">
      <c r="A50" s="506"/>
      <c r="C50" s="160" t="s">
        <v>341</v>
      </c>
      <c r="D50" s="506"/>
    </row>
    <row r="51" spans="1:5">
      <c r="A51" s="506"/>
      <c r="C51" s="160"/>
      <c r="D51" s="506"/>
    </row>
    <row r="52" spans="1:5">
      <c r="C52" s="160"/>
      <c r="D52" s="505"/>
    </row>
    <row r="53" spans="1:5">
      <c r="C53" s="506"/>
      <c r="D53" s="505"/>
      <c r="E53" s="508"/>
    </row>
    <row r="54" spans="1:5" ht="13.5" thickBot="1">
      <c r="A54" s="675" t="s">
        <v>128</v>
      </c>
      <c r="B54" s="675"/>
      <c r="D54" s="505"/>
    </row>
    <row r="55" spans="1:5">
      <c r="A55" s="507" t="s">
        <v>25</v>
      </c>
      <c r="C55" s="94" t="s">
        <v>340</v>
      </c>
      <c r="D55" s="505"/>
    </row>
    <row r="56" spans="1:5">
      <c r="B56" s="506"/>
      <c r="C56" s="94" t="s">
        <v>346</v>
      </c>
      <c r="D56" s="505"/>
    </row>
    <row r="57" spans="1:5">
      <c r="B57" s="506"/>
      <c r="C57" s="94" t="s">
        <v>347</v>
      </c>
      <c r="D57" s="505"/>
    </row>
    <row r="126" spans="86:86">
      <c r="CH126" s="504">
        <v>0.73</v>
      </c>
    </row>
  </sheetData>
  <mergeCells count="15">
    <mergeCell ref="A54:B54"/>
    <mergeCell ref="A35:B35"/>
    <mergeCell ref="A39:B39"/>
    <mergeCell ref="A2:C2"/>
    <mergeCell ref="A1:C1"/>
    <mergeCell ref="A23:B23"/>
    <mergeCell ref="A27:B27"/>
    <mergeCell ref="A31:B31"/>
    <mergeCell ref="A7:B7"/>
    <mergeCell ref="A3:B3"/>
    <mergeCell ref="A19:B19"/>
    <mergeCell ref="A15:B15"/>
    <mergeCell ref="A11:B11"/>
    <mergeCell ref="C8:C10"/>
    <mergeCell ref="C4:C6"/>
  </mergeCells>
  <printOptions horizontalCentered="1"/>
  <pageMargins left="0.3" right="0" top="0.1" bottom="0" header="0.4" footer="0.25"/>
  <pageSetup scale="73" pageOrder="overThenDown" orientation="portrait" r:id="rId1"/>
  <headerFooter alignWithMargins="0">
    <oddFooter xml:space="preserve">&amp;L&amp;8Originator: Sales Operations - Vehicle Programming
&amp;Z&amp;F&amp;C&amp;"Arial,Bold"&amp;12&amp;UFORD MOTOR COMPANY PROPRIETARY&amp;"Arial,Regular"&amp;8&amp;U
Page &amp;P of &amp;N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6"/>
  <sheetViews>
    <sheetView workbookViewId="0">
      <selection activeCell="K15" sqref="K15"/>
    </sheetView>
  </sheetViews>
  <sheetFormatPr defaultRowHeight="12.5"/>
  <cols>
    <col min="1" max="1" width="20.26953125" style="280" customWidth="1"/>
    <col min="6" max="6" width="12.81640625" customWidth="1"/>
    <col min="14" max="14" width="13.26953125" hidden="1" customWidth="1"/>
    <col min="15" max="15" width="13.26953125" customWidth="1"/>
    <col min="17" max="17" width="10.453125" customWidth="1"/>
  </cols>
  <sheetData>
    <row r="1" spans="1:21" ht="13">
      <c r="A1" s="271"/>
      <c r="B1" s="670" t="s">
        <v>242</v>
      </c>
      <c r="C1" s="670"/>
      <c r="D1" s="670"/>
      <c r="E1" s="670"/>
      <c r="F1" s="670"/>
      <c r="G1" s="670"/>
      <c r="H1" s="670"/>
      <c r="I1" s="670"/>
      <c r="J1" s="670"/>
      <c r="K1" s="671"/>
      <c r="L1" s="672"/>
      <c r="M1" s="672"/>
      <c r="N1" s="125"/>
      <c r="O1" s="125" t="s">
        <v>242</v>
      </c>
      <c r="P1" s="673" t="s">
        <v>93</v>
      </c>
      <c r="Q1" s="674"/>
      <c r="R1" s="674"/>
    </row>
    <row r="2" spans="1:21" ht="13.5" thickBot="1">
      <c r="A2" s="272"/>
      <c r="B2" s="127" t="s">
        <v>94</v>
      </c>
      <c r="C2" s="128" t="s">
        <v>95</v>
      </c>
      <c r="D2" s="129" t="s">
        <v>96</v>
      </c>
      <c r="E2" s="130" t="s">
        <v>87</v>
      </c>
      <c r="F2" s="128" t="s">
        <v>88</v>
      </c>
      <c r="G2" s="129" t="s">
        <v>97</v>
      </c>
      <c r="H2" s="130" t="s">
        <v>98</v>
      </c>
      <c r="I2" s="128" t="s">
        <v>90</v>
      </c>
      <c r="J2" s="211" t="s">
        <v>99</v>
      </c>
      <c r="K2" s="212" t="s">
        <v>100</v>
      </c>
      <c r="L2" s="132" t="s">
        <v>43</v>
      </c>
      <c r="M2" s="131" t="s">
        <v>101</v>
      </c>
      <c r="N2" s="133" t="s">
        <v>157</v>
      </c>
      <c r="O2" s="215" t="s">
        <v>243</v>
      </c>
      <c r="P2" s="134" t="s">
        <v>160</v>
      </c>
      <c r="Q2" s="135" t="s">
        <v>161</v>
      </c>
      <c r="R2" s="259" t="s">
        <v>162</v>
      </c>
    </row>
    <row r="3" spans="1:21" ht="13" thickTop="1">
      <c r="A3" s="273" t="s">
        <v>170</v>
      </c>
      <c r="B3" s="226"/>
      <c r="C3" s="227"/>
      <c r="D3" s="228"/>
      <c r="E3" s="226"/>
      <c r="F3" s="229"/>
      <c r="G3" s="230"/>
      <c r="H3" s="226">
        <v>2</v>
      </c>
      <c r="I3" s="227"/>
      <c r="J3" s="231">
        <v>1</v>
      </c>
      <c r="K3" s="232"/>
      <c r="L3" s="233">
        <v>1</v>
      </c>
      <c r="M3" s="234"/>
      <c r="N3" s="191">
        <f>SUM(K3:M3)</f>
        <v>1</v>
      </c>
      <c r="O3" s="216">
        <f>SUM(B3:M3)</f>
        <v>4</v>
      </c>
      <c r="P3" s="137">
        <v>0</v>
      </c>
      <c r="Q3" s="263">
        <v>2</v>
      </c>
      <c r="R3" s="138">
        <v>2</v>
      </c>
    </row>
    <row r="4" spans="1:21">
      <c r="A4" s="274"/>
      <c r="B4" s="235"/>
      <c r="C4" s="236"/>
      <c r="D4" s="237"/>
      <c r="E4" s="235"/>
      <c r="F4" s="238"/>
      <c r="G4" s="237"/>
      <c r="H4" s="235"/>
      <c r="I4" s="236"/>
      <c r="J4" s="239"/>
      <c r="K4" s="240"/>
      <c r="L4" s="241"/>
      <c r="M4" s="242"/>
      <c r="N4" s="191">
        <f t="shared" ref="N4:N31" si="0">SUM(K4:M4)</f>
        <v>0</v>
      </c>
      <c r="O4" s="216">
        <f t="shared" ref="O4:O31" si="1">SUM(B4:M4)</f>
        <v>0</v>
      </c>
      <c r="P4" s="140"/>
      <c r="Q4" s="141"/>
      <c r="R4" s="141"/>
    </row>
    <row r="5" spans="1:21">
      <c r="A5" s="275" t="s">
        <v>102</v>
      </c>
      <c r="B5" s="226"/>
      <c r="C5" s="243"/>
      <c r="D5" s="228"/>
      <c r="E5" s="244"/>
      <c r="F5" s="229"/>
      <c r="G5" s="230"/>
      <c r="H5" s="226">
        <v>2</v>
      </c>
      <c r="I5" s="227"/>
      <c r="J5" s="231"/>
      <c r="K5" s="245"/>
      <c r="L5" s="246"/>
      <c r="M5" s="234"/>
      <c r="N5" s="191">
        <f t="shared" si="0"/>
        <v>0</v>
      </c>
      <c r="O5" s="216">
        <f t="shared" si="1"/>
        <v>2</v>
      </c>
      <c r="P5" s="137"/>
      <c r="Q5" s="138"/>
      <c r="R5" s="138">
        <v>2</v>
      </c>
    </row>
    <row r="6" spans="1:21">
      <c r="A6" s="274"/>
      <c r="B6" s="235"/>
      <c r="C6" s="236"/>
      <c r="D6" s="237"/>
      <c r="E6" s="235"/>
      <c r="F6" s="236"/>
      <c r="G6" s="237"/>
      <c r="H6" s="235"/>
      <c r="I6" s="236"/>
      <c r="J6" s="239"/>
      <c r="K6" s="240"/>
      <c r="L6" s="241"/>
      <c r="M6" s="242"/>
      <c r="N6" s="191">
        <f t="shared" si="0"/>
        <v>0</v>
      </c>
      <c r="O6" s="216">
        <f t="shared" si="1"/>
        <v>0</v>
      </c>
      <c r="P6" s="140"/>
      <c r="Q6" s="141"/>
      <c r="R6" s="141"/>
    </row>
    <row r="7" spans="1:21">
      <c r="A7" s="275" t="s">
        <v>103</v>
      </c>
      <c r="B7" s="226"/>
      <c r="C7" s="243"/>
      <c r="D7" s="228"/>
      <c r="E7" s="219"/>
      <c r="F7" s="229"/>
      <c r="G7" s="230"/>
      <c r="H7" s="226">
        <v>2</v>
      </c>
      <c r="I7" s="227">
        <v>1</v>
      </c>
      <c r="J7" s="231">
        <v>1</v>
      </c>
      <c r="K7" s="245">
        <v>1</v>
      </c>
      <c r="L7" s="246">
        <v>1</v>
      </c>
      <c r="M7" s="234"/>
      <c r="N7" s="191">
        <f t="shared" si="0"/>
        <v>2</v>
      </c>
      <c r="O7" s="216">
        <f t="shared" si="1"/>
        <v>6</v>
      </c>
      <c r="P7" s="137"/>
      <c r="Q7" s="138">
        <v>4</v>
      </c>
      <c r="R7" s="138">
        <v>2</v>
      </c>
    </row>
    <row r="8" spans="1:21">
      <c r="A8" s="274"/>
      <c r="B8" s="235"/>
      <c r="C8" s="236"/>
      <c r="D8" s="237"/>
      <c r="E8" s="235"/>
      <c r="F8" s="236"/>
      <c r="G8" s="237"/>
      <c r="H8" s="235"/>
      <c r="I8" s="236"/>
      <c r="J8" s="239"/>
      <c r="K8" s="240"/>
      <c r="L8" s="241"/>
      <c r="M8" s="242"/>
      <c r="N8" s="191">
        <f t="shared" si="0"/>
        <v>0</v>
      </c>
      <c r="O8" s="216">
        <f t="shared" si="1"/>
        <v>0</v>
      </c>
      <c r="P8" s="140"/>
      <c r="Q8" s="270"/>
      <c r="R8" s="141"/>
    </row>
    <row r="9" spans="1:21">
      <c r="A9" s="275" t="s">
        <v>104</v>
      </c>
      <c r="B9" s="226"/>
      <c r="C9" s="227"/>
      <c r="D9" s="228"/>
      <c r="E9" s="244"/>
      <c r="F9" s="229"/>
      <c r="G9" s="230"/>
      <c r="H9" s="226"/>
      <c r="I9" s="227"/>
      <c r="J9" s="231"/>
      <c r="K9" s="245"/>
      <c r="L9" s="233"/>
      <c r="M9" s="234"/>
      <c r="N9" s="191">
        <f t="shared" si="0"/>
        <v>0</v>
      </c>
      <c r="O9" s="216">
        <f t="shared" si="1"/>
        <v>0</v>
      </c>
      <c r="P9" s="137"/>
      <c r="Q9" s="138"/>
      <c r="R9" s="138">
        <v>2</v>
      </c>
    </row>
    <row r="10" spans="1:21">
      <c r="A10" s="274"/>
      <c r="B10" s="235"/>
      <c r="C10" s="236"/>
      <c r="D10" s="237"/>
      <c r="E10" s="235"/>
      <c r="F10" s="236"/>
      <c r="G10" s="237"/>
      <c r="H10" s="235"/>
      <c r="I10" s="236"/>
      <c r="J10" s="239"/>
      <c r="K10" s="240"/>
      <c r="L10" s="241"/>
      <c r="M10" s="242"/>
      <c r="N10" s="191">
        <f t="shared" si="0"/>
        <v>0</v>
      </c>
      <c r="O10" s="216">
        <f t="shared" si="1"/>
        <v>0</v>
      </c>
      <c r="P10" s="140"/>
      <c r="Q10" s="141"/>
      <c r="R10" s="141"/>
    </row>
    <row r="11" spans="1:21">
      <c r="A11" s="275" t="s">
        <v>105</v>
      </c>
      <c r="B11" s="226"/>
      <c r="C11" s="227"/>
      <c r="D11" s="228"/>
      <c r="E11" s="244"/>
      <c r="F11" s="229"/>
      <c r="G11" s="230"/>
      <c r="H11" s="226">
        <v>1</v>
      </c>
      <c r="I11" s="227">
        <v>1</v>
      </c>
      <c r="J11" s="231"/>
      <c r="K11" s="245"/>
      <c r="L11" s="246"/>
      <c r="M11" s="234"/>
      <c r="N11" s="191">
        <f t="shared" si="0"/>
        <v>0</v>
      </c>
      <c r="O11" s="216">
        <f t="shared" si="1"/>
        <v>2</v>
      </c>
      <c r="P11" s="137"/>
      <c r="Q11" s="138"/>
      <c r="R11" s="138">
        <v>2</v>
      </c>
    </row>
    <row r="12" spans="1:21">
      <c r="A12" s="274"/>
      <c r="B12" s="235"/>
      <c r="C12" s="236"/>
      <c r="D12" s="237"/>
      <c r="E12" s="235"/>
      <c r="F12" s="236"/>
      <c r="G12" s="237"/>
      <c r="H12" s="235"/>
      <c r="I12" s="236"/>
      <c r="J12" s="239"/>
      <c r="K12" s="240"/>
      <c r="L12" s="241"/>
      <c r="M12" s="242"/>
      <c r="N12" s="191">
        <f t="shared" si="0"/>
        <v>0</v>
      </c>
      <c r="O12" s="216">
        <f t="shared" si="1"/>
        <v>0</v>
      </c>
      <c r="P12" s="140"/>
      <c r="Q12" s="141"/>
      <c r="R12" s="141"/>
    </row>
    <row r="13" spans="1:21">
      <c r="A13" s="275" t="s">
        <v>106</v>
      </c>
      <c r="B13" s="397" t="s">
        <v>228</v>
      </c>
      <c r="C13" s="227" t="s">
        <v>250</v>
      </c>
      <c r="D13" s="228" t="s">
        <v>251</v>
      </c>
      <c r="E13" s="219"/>
      <c r="F13" s="229" t="s">
        <v>227</v>
      </c>
      <c r="G13" s="230" t="s">
        <v>252</v>
      </c>
      <c r="H13" s="469" t="s">
        <v>252</v>
      </c>
      <c r="I13" s="227" t="s">
        <v>227</v>
      </c>
      <c r="J13" s="231" t="s">
        <v>228</v>
      </c>
      <c r="K13" s="245" t="s">
        <v>236</v>
      </c>
      <c r="L13" s="233" t="s">
        <v>228</v>
      </c>
      <c r="M13" s="234" t="s">
        <v>236</v>
      </c>
      <c r="N13" s="191">
        <f t="shared" si="0"/>
        <v>0</v>
      </c>
      <c r="O13" s="470">
        <v>17</v>
      </c>
      <c r="P13" s="137"/>
      <c r="Q13" s="138">
        <v>15</v>
      </c>
      <c r="R13" s="138">
        <v>2</v>
      </c>
    </row>
    <row r="14" spans="1:21">
      <c r="A14" s="274"/>
      <c r="B14" s="235"/>
      <c r="C14" s="236"/>
      <c r="D14" s="237"/>
      <c r="E14" s="235"/>
      <c r="F14" s="236"/>
      <c r="G14" s="237"/>
      <c r="H14" s="235"/>
      <c r="I14" s="236"/>
      <c r="J14" s="239"/>
      <c r="K14" s="240"/>
      <c r="L14" s="241"/>
      <c r="M14" s="242"/>
      <c r="N14" s="191">
        <f t="shared" si="0"/>
        <v>0</v>
      </c>
      <c r="O14" s="216">
        <f t="shared" si="1"/>
        <v>0</v>
      </c>
      <c r="P14" s="140"/>
      <c r="Q14" s="141"/>
      <c r="R14" s="141"/>
    </row>
    <row r="15" spans="1:21">
      <c r="A15" s="276" t="s">
        <v>155</v>
      </c>
      <c r="B15" s="247">
        <v>1</v>
      </c>
      <c r="C15" s="248"/>
      <c r="D15" s="249"/>
      <c r="E15" s="247"/>
      <c r="F15" s="248"/>
      <c r="G15" s="249"/>
      <c r="H15" s="247"/>
      <c r="I15" s="248"/>
      <c r="J15" s="247">
        <v>1</v>
      </c>
      <c r="K15" s="250"/>
      <c r="L15" s="251"/>
      <c r="M15" s="252"/>
      <c r="N15" s="191">
        <f t="shared" si="0"/>
        <v>0</v>
      </c>
      <c r="O15" s="216">
        <f t="shared" si="1"/>
        <v>2</v>
      </c>
      <c r="P15" s="144"/>
      <c r="Q15" s="145"/>
      <c r="R15" s="145">
        <v>2</v>
      </c>
      <c r="U15" s="324"/>
    </row>
    <row r="16" spans="1:21">
      <c r="A16" s="275" t="s">
        <v>107</v>
      </c>
      <c r="B16" s="226">
        <v>1</v>
      </c>
      <c r="C16" s="227" t="s">
        <v>238</v>
      </c>
      <c r="D16" s="228"/>
      <c r="E16" s="244"/>
      <c r="F16" s="229"/>
      <c r="G16" s="230"/>
      <c r="H16" s="226"/>
      <c r="I16" s="227"/>
      <c r="J16" s="231"/>
      <c r="K16" s="245"/>
      <c r="L16" s="233"/>
      <c r="M16" s="234"/>
      <c r="N16" s="191">
        <f t="shared" si="0"/>
        <v>0</v>
      </c>
      <c r="O16" s="216">
        <f t="shared" si="1"/>
        <v>1</v>
      </c>
      <c r="P16" s="137"/>
      <c r="Q16" s="138"/>
      <c r="R16" s="138">
        <v>2</v>
      </c>
    </row>
    <row r="17" spans="1:18">
      <c r="A17" s="274"/>
      <c r="B17" s="235"/>
      <c r="C17" s="236"/>
      <c r="D17" s="237"/>
      <c r="E17" s="235"/>
      <c r="F17" s="236"/>
      <c r="G17" s="237"/>
      <c r="H17" s="235"/>
      <c r="I17" s="236"/>
      <c r="J17" s="239"/>
      <c r="K17" s="240"/>
      <c r="L17" s="241"/>
      <c r="M17" s="242"/>
      <c r="N17" s="191">
        <f t="shared" si="0"/>
        <v>0</v>
      </c>
      <c r="O17" s="216">
        <f t="shared" si="1"/>
        <v>0</v>
      </c>
      <c r="P17" s="140"/>
      <c r="Q17" s="146"/>
      <c r="R17" s="146"/>
    </row>
    <row r="18" spans="1:18">
      <c r="A18" s="275" t="s">
        <v>108</v>
      </c>
      <c r="B18" s="253"/>
      <c r="C18" s="227"/>
      <c r="D18" s="228"/>
      <c r="E18" s="226"/>
      <c r="F18" s="243"/>
      <c r="G18" s="228"/>
      <c r="H18" s="226">
        <v>2</v>
      </c>
      <c r="I18" s="227"/>
      <c r="J18" s="231"/>
      <c r="K18" s="245"/>
      <c r="L18" s="233"/>
      <c r="M18" s="228"/>
      <c r="N18" s="191">
        <f t="shared" si="0"/>
        <v>0</v>
      </c>
      <c r="O18" s="216">
        <f t="shared" si="1"/>
        <v>2</v>
      </c>
      <c r="P18" s="137"/>
      <c r="Q18" s="138"/>
      <c r="R18" s="138">
        <v>2</v>
      </c>
    </row>
    <row r="19" spans="1:18">
      <c r="A19" s="274"/>
      <c r="B19" s="235"/>
      <c r="C19" s="236"/>
      <c r="D19" s="237"/>
      <c r="E19" s="235"/>
      <c r="F19" s="236"/>
      <c r="G19" s="237"/>
      <c r="H19" s="235"/>
      <c r="I19" s="236"/>
      <c r="J19" s="239"/>
      <c r="K19" s="240"/>
      <c r="L19" s="241"/>
      <c r="M19" s="242"/>
      <c r="N19" s="191">
        <f t="shared" si="0"/>
        <v>0</v>
      </c>
      <c r="O19" s="216">
        <f t="shared" si="1"/>
        <v>0</v>
      </c>
      <c r="P19" s="140"/>
      <c r="Q19" s="146"/>
      <c r="R19" s="146"/>
    </row>
    <row r="20" spans="1:18">
      <c r="A20" s="275" t="s">
        <v>109</v>
      </c>
      <c r="B20" s="226"/>
      <c r="C20" s="227"/>
      <c r="D20" s="228"/>
      <c r="E20" s="244"/>
      <c r="F20" s="229"/>
      <c r="G20" s="230"/>
      <c r="H20" s="244">
        <v>1</v>
      </c>
      <c r="I20" s="227"/>
      <c r="J20" s="231"/>
      <c r="K20" s="245"/>
      <c r="L20" s="233"/>
      <c r="M20" s="234"/>
      <c r="N20" s="191">
        <f t="shared" si="0"/>
        <v>0</v>
      </c>
      <c r="O20" s="216">
        <f t="shared" si="1"/>
        <v>1</v>
      </c>
      <c r="P20" s="137"/>
      <c r="Q20" s="138"/>
      <c r="R20" s="138">
        <v>1</v>
      </c>
    </row>
    <row r="21" spans="1:18">
      <c r="A21" s="274"/>
      <c r="B21" s="235"/>
      <c r="C21" s="236"/>
      <c r="D21" s="237"/>
      <c r="E21" s="235"/>
      <c r="F21" s="236"/>
      <c r="G21" s="237"/>
      <c r="H21" s="235"/>
      <c r="I21" s="236"/>
      <c r="J21" s="239"/>
      <c r="K21" s="240"/>
      <c r="L21" s="241"/>
      <c r="M21" s="242"/>
      <c r="N21" s="191">
        <f t="shared" si="0"/>
        <v>0</v>
      </c>
      <c r="O21" s="216">
        <f t="shared" si="1"/>
        <v>0</v>
      </c>
      <c r="P21" s="140"/>
      <c r="Q21" s="141"/>
      <c r="R21" s="141"/>
    </row>
    <row r="22" spans="1:18">
      <c r="A22" s="275" t="s">
        <v>110</v>
      </c>
      <c r="B22" s="226"/>
      <c r="C22" s="227"/>
      <c r="D22" s="218"/>
      <c r="E22" s="219"/>
      <c r="F22" s="229"/>
      <c r="G22" s="230"/>
      <c r="H22" s="226">
        <v>2</v>
      </c>
      <c r="I22" s="227"/>
      <c r="J22" s="231"/>
      <c r="K22" s="245"/>
      <c r="L22" s="233"/>
      <c r="M22" s="234"/>
      <c r="N22" s="191">
        <f t="shared" si="0"/>
        <v>0</v>
      </c>
      <c r="O22" s="216">
        <f t="shared" si="1"/>
        <v>2</v>
      </c>
      <c r="P22" s="137"/>
      <c r="Q22" s="138"/>
      <c r="R22" s="138">
        <v>2</v>
      </c>
    </row>
    <row r="23" spans="1:18">
      <c r="A23" s="274"/>
      <c r="B23" s="235"/>
      <c r="C23" s="236"/>
      <c r="D23" s="237"/>
      <c r="E23" s="235"/>
      <c r="F23" s="236"/>
      <c r="G23" s="237"/>
      <c r="H23" s="235"/>
      <c r="I23" s="236"/>
      <c r="J23" s="239"/>
      <c r="K23" s="240"/>
      <c r="L23" s="241"/>
      <c r="M23" s="242"/>
      <c r="N23" s="191">
        <f t="shared" si="0"/>
        <v>0</v>
      </c>
      <c r="O23" s="216">
        <f t="shared" si="1"/>
        <v>0</v>
      </c>
      <c r="P23" s="140"/>
      <c r="Q23" s="141"/>
      <c r="R23" s="141"/>
    </row>
    <row r="24" spans="1:18">
      <c r="A24" s="275" t="s">
        <v>111</v>
      </c>
      <c r="B24" s="226"/>
      <c r="C24" s="227"/>
      <c r="D24" s="228"/>
      <c r="E24" s="244"/>
      <c r="F24" s="229"/>
      <c r="G24" s="228"/>
      <c r="H24" s="217">
        <v>2</v>
      </c>
      <c r="I24" s="227"/>
      <c r="J24" s="231"/>
      <c r="K24" s="245"/>
      <c r="L24" s="233"/>
      <c r="M24" s="234"/>
      <c r="N24" s="191">
        <f t="shared" si="0"/>
        <v>0</v>
      </c>
      <c r="O24" s="216">
        <f t="shared" si="1"/>
        <v>2</v>
      </c>
      <c r="P24" s="137"/>
      <c r="Q24" s="138"/>
      <c r="R24" s="138">
        <v>2</v>
      </c>
    </row>
    <row r="25" spans="1:18" hidden="1">
      <c r="A25" s="274"/>
      <c r="B25" s="235"/>
      <c r="C25" s="236"/>
      <c r="D25" s="237"/>
      <c r="E25" s="235"/>
      <c r="F25" s="236"/>
      <c r="G25" s="237"/>
      <c r="H25" s="235"/>
      <c r="I25" s="236"/>
      <c r="J25" s="239"/>
      <c r="K25" s="240"/>
      <c r="L25" s="241"/>
      <c r="M25" s="242"/>
      <c r="N25" s="191">
        <f t="shared" si="0"/>
        <v>0</v>
      </c>
      <c r="O25" s="216">
        <f t="shared" si="1"/>
        <v>0</v>
      </c>
      <c r="P25" s="140"/>
      <c r="Q25" s="141"/>
      <c r="R25" s="141"/>
    </row>
    <row r="26" spans="1:18" hidden="1">
      <c r="A26" s="275" t="s">
        <v>112</v>
      </c>
      <c r="B26" s="226"/>
      <c r="C26" s="227"/>
      <c r="D26" s="228"/>
      <c r="E26" s="226"/>
      <c r="F26" s="227"/>
      <c r="G26" s="228"/>
      <c r="H26" s="253"/>
      <c r="I26" s="227"/>
      <c r="J26" s="231"/>
      <c r="K26" s="245"/>
      <c r="L26" s="233"/>
      <c r="M26" s="234"/>
      <c r="N26" s="191">
        <f t="shared" si="0"/>
        <v>0</v>
      </c>
      <c r="O26" s="216">
        <f t="shared" si="1"/>
        <v>0</v>
      </c>
      <c r="P26" s="137"/>
      <c r="Q26" s="138"/>
      <c r="R26" s="138"/>
    </row>
    <row r="27" spans="1:18" hidden="1">
      <c r="A27" s="274"/>
      <c r="B27" s="235"/>
      <c r="C27" s="236"/>
      <c r="D27" s="237"/>
      <c r="E27" s="235"/>
      <c r="F27" s="236"/>
      <c r="G27" s="237"/>
      <c r="H27" s="235"/>
      <c r="I27" s="236"/>
      <c r="J27" s="239"/>
      <c r="K27" s="240"/>
      <c r="L27" s="241"/>
      <c r="M27" s="242"/>
      <c r="N27" s="191">
        <f t="shared" si="0"/>
        <v>0</v>
      </c>
      <c r="O27" s="216">
        <f t="shared" si="1"/>
        <v>0</v>
      </c>
      <c r="P27" s="140"/>
      <c r="Q27" s="141"/>
      <c r="R27" s="141"/>
    </row>
    <row r="28" spans="1:18" hidden="1">
      <c r="A28" s="275" t="s">
        <v>118</v>
      </c>
      <c r="B28" s="226"/>
      <c r="C28" s="227"/>
      <c r="D28" s="228"/>
      <c r="E28" s="226"/>
      <c r="F28" s="227"/>
      <c r="G28" s="228"/>
      <c r="H28" s="226"/>
      <c r="I28" s="227"/>
      <c r="J28" s="231"/>
      <c r="K28" s="245"/>
      <c r="L28" s="233"/>
      <c r="M28" s="234"/>
      <c r="N28" s="191">
        <f t="shared" si="0"/>
        <v>0</v>
      </c>
      <c r="O28" s="216">
        <f t="shared" si="1"/>
        <v>0</v>
      </c>
      <c r="P28" s="137"/>
      <c r="Q28" s="138"/>
      <c r="R28" s="138"/>
    </row>
    <row r="29" spans="1:18">
      <c r="A29" s="274"/>
      <c r="B29" s="235"/>
      <c r="C29" s="236"/>
      <c r="D29" s="237"/>
      <c r="E29" s="235"/>
      <c r="F29" s="236"/>
      <c r="G29" s="237"/>
      <c r="H29" s="235"/>
      <c r="I29" s="236"/>
      <c r="J29" s="239"/>
      <c r="K29" s="240"/>
      <c r="L29" s="241"/>
      <c r="M29" s="242"/>
      <c r="N29" s="191">
        <f t="shared" si="0"/>
        <v>0</v>
      </c>
      <c r="O29" s="216">
        <f t="shared" si="1"/>
        <v>0</v>
      </c>
      <c r="P29" s="140"/>
      <c r="Q29" s="141"/>
      <c r="R29" s="141"/>
    </row>
    <row r="30" spans="1:18">
      <c r="A30" s="275" t="s">
        <v>113</v>
      </c>
      <c r="B30" s="226">
        <v>2</v>
      </c>
      <c r="C30" s="227">
        <v>2</v>
      </c>
      <c r="D30" s="218">
        <v>1</v>
      </c>
      <c r="E30" s="217"/>
      <c r="F30" s="227"/>
      <c r="G30" s="228"/>
      <c r="H30" s="226">
        <v>2</v>
      </c>
      <c r="I30" s="227">
        <v>1</v>
      </c>
      <c r="J30" s="231">
        <v>1</v>
      </c>
      <c r="K30" s="245"/>
      <c r="L30" s="233">
        <v>1</v>
      </c>
      <c r="M30" s="234">
        <v>1</v>
      </c>
      <c r="N30" s="191">
        <f t="shared" si="0"/>
        <v>2</v>
      </c>
      <c r="O30" s="216">
        <f t="shared" si="1"/>
        <v>11</v>
      </c>
      <c r="P30" s="137">
        <v>2</v>
      </c>
      <c r="Q30" s="138">
        <v>7</v>
      </c>
      <c r="R30" s="138">
        <v>2</v>
      </c>
    </row>
    <row r="31" spans="1:18">
      <c r="A31" s="274"/>
      <c r="B31" s="235"/>
      <c r="C31" s="236"/>
      <c r="D31" s="237"/>
      <c r="E31" s="235"/>
      <c r="F31" s="236"/>
      <c r="G31" s="237"/>
      <c r="H31" s="235"/>
      <c r="I31" s="236"/>
      <c r="J31" s="239"/>
      <c r="K31" s="240"/>
      <c r="L31" s="241"/>
      <c r="M31" s="242"/>
      <c r="N31" s="191">
        <f t="shared" si="0"/>
        <v>0</v>
      </c>
      <c r="O31" s="216">
        <f t="shared" si="1"/>
        <v>0</v>
      </c>
      <c r="P31" s="140"/>
      <c r="Q31" s="141"/>
      <c r="R31" s="141"/>
    </row>
    <row r="32" spans="1:18" ht="13">
      <c r="A32" s="277"/>
      <c r="B32" s="220"/>
      <c r="C32" s="220"/>
      <c r="D32" s="220"/>
      <c r="E32" s="220"/>
      <c r="F32" s="220"/>
      <c r="G32" s="221"/>
      <c r="H32" s="220"/>
      <c r="I32" s="221"/>
      <c r="J32" s="222"/>
      <c r="K32" s="223"/>
      <c r="L32" s="224"/>
      <c r="M32" s="225" t="s">
        <v>114</v>
      </c>
      <c r="N32" s="192">
        <f>SUM(N3:N31)</f>
        <v>5</v>
      </c>
      <c r="O32" s="458">
        <f>SUM(O3:O31)</f>
        <v>52</v>
      </c>
      <c r="P32" s="459"/>
      <c r="Q32" s="148"/>
      <c r="R32" s="148"/>
    </row>
    <row r="33" spans="1:17" ht="13">
      <c r="A33" s="278"/>
      <c r="B33" s="150"/>
      <c r="C33" s="150"/>
      <c r="D33" s="150"/>
      <c r="E33" s="150"/>
      <c r="F33" s="150"/>
      <c r="H33" s="150"/>
      <c r="I33" s="150"/>
      <c r="J33" s="151"/>
      <c r="K33" s="152"/>
      <c r="L33" s="261" t="s">
        <v>163</v>
      </c>
      <c r="M33" s="260"/>
      <c r="N33" s="153"/>
      <c r="O33" s="153"/>
      <c r="P33" s="150"/>
      <c r="Q33" s="150"/>
    </row>
    <row r="34" spans="1:17" ht="13">
      <c r="A34" s="279"/>
      <c r="B34" s="154"/>
      <c r="C34" s="150"/>
      <c r="D34" s="150"/>
      <c r="E34" s="150"/>
      <c r="G34" s="150"/>
      <c r="H34" s="150"/>
      <c r="I34" s="150"/>
      <c r="J34" s="150"/>
      <c r="K34" s="150"/>
      <c r="L34" s="329" t="s">
        <v>192</v>
      </c>
      <c r="M34" s="150"/>
      <c r="N34" s="153"/>
      <c r="O34" s="153"/>
      <c r="P34" s="150"/>
      <c r="Q34" s="150"/>
    </row>
    <row r="35" spans="1:17">
      <c r="A35" s="279"/>
      <c r="B35" s="150"/>
      <c r="C35" s="150"/>
      <c r="D35" s="150"/>
      <c r="E35" s="150"/>
      <c r="F35" s="150"/>
      <c r="G35" s="150"/>
      <c r="H35" s="150"/>
      <c r="I35" s="150"/>
      <c r="J35" s="150"/>
      <c r="K35" s="150"/>
      <c r="L35" s="394" t="s">
        <v>299</v>
      </c>
      <c r="M35" s="150"/>
      <c r="N35" s="153"/>
      <c r="O35" s="153"/>
      <c r="P35" s="150"/>
      <c r="Q35" s="150"/>
    </row>
    <row r="36" spans="1:17">
      <c r="A36" s="61"/>
      <c r="B36" s="150"/>
      <c r="C36" s="150"/>
      <c r="D36" s="150"/>
      <c r="E36" s="150"/>
      <c r="F36" s="150"/>
      <c r="G36" s="150"/>
      <c r="H36" s="150"/>
      <c r="I36" s="150"/>
      <c r="J36" s="150"/>
      <c r="K36" s="150"/>
      <c r="L36" s="399"/>
      <c r="M36" s="150"/>
      <c r="N36" s="153"/>
      <c r="O36" s="153"/>
      <c r="P36" s="150"/>
      <c r="Q36" s="150"/>
    </row>
  </sheetData>
  <mergeCells count="3">
    <mergeCell ref="B1:J1"/>
    <mergeCell ref="K1:M1"/>
    <mergeCell ref="P1:R1"/>
  </mergeCells>
  <printOptions horizontalCentered="1" verticalCentered="1"/>
  <pageMargins left="0.3" right="0" top="0.1" bottom="0" header="0.4" footer="0.25"/>
  <pageSetup scale="60" pageOrder="overThenDown" orientation="portrait" r:id="rId1"/>
  <headerFooter alignWithMargins="0">
    <oddFooter xml:space="preserve">&amp;L&amp;8Originator: Sales Operations - Vehicle Programming
&amp;Z&amp;F&amp;C&amp;"Arial,Bold"&amp;12&amp;UFORD MOTOR COMPANY PROPRIETARY&amp;"Arial,Regular"&amp;8&amp;U
Page &amp;P of &amp;N
</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OP PLAN</vt:lpstr>
      <vt:lpstr>Roll Weeks</vt:lpstr>
      <vt:lpstr>14 CY Downweeks</vt:lpstr>
      <vt:lpstr>15 CY Downweeks</vt:lpstr>
      <vt:lpstr>16 CY Downweeks</vt:lpstr>
      <vt:lpstr>OP LTR</vt:lpstr>
      <vt:lpstr>17 CY Downweeks</vt:lpstr>
      <vt:lpstr>'OP LTR'!Print_Area</vt:lpstr>
      <vt:lpstr>'OP PLAN'!Print_Area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Smith, Stephen (S.D.)</dc:creator>
  <cp:lastModifiedBy>Alvarez Mario (DKK1MMA)</cp:lastModifiedBy>
  <cp:lastPrinted>2017-07-28T18:37:28Z</cp:lastPrinted>
  <dcterms:created xsi:type="dcterms:W3CDTF">1999-03-02T20:07:15Z</dcterms:created>
  <dcterms:modified xsi:type="dcterms:W3CDTF">2017-08-14T16:38:42Z</dcterms:modified>
</cp:coreProperties>
</file>