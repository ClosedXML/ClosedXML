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20" yWindow="-120" windowWidth="29040" windowHeight="17640"/>
  </bookViews>
  <sheets>
    <sheet name="Sheet1" sheetId="4" r:id="rId1"/>
    <sheet name="Sheet2" sheetId="5" r:id="rId2"/>
  </sheets>
  <externalReferences>
    <externalReference r:id="rId3"/>
  </externalReferences>
  <definedNames>
    <definedName name="_xlnm._FilterDatabase" localSheetId="0" hidden="1">Sheet1!$A$1:$B$2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</calcChain>
</file>

<file path=xl/sharedStrings.xml><?xml version="1.0" encoding="utf-8"?>
<sst xmlns="http://schemas.openxmlformats.org/spreadsheetml/2006/main" count="18" uniqueCount="15">
  <si>
    <t>B</t>
  </si>
  <si>
    <t>1.0,1.0</t>
  </si>
  <si>
    <t>0.0,0.0</t>
  </si>
  <si>
    <t>False,False</t>
  </si>
  <si>
    <t>ARL</t>
  </si>
  <si>
    <t>51064</t>
  </si>
  <si>
    <t/>
  </si>
  <si>
    <t>a</t>
  </si>
  <si>
    <t>b</t>
  </si>
  <si>
    <t>c</t>
  </si>
  <si>
    <t>d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</si>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</sst>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0.0000%"/>
    <numFmt numFmtId="165" formatCode="0.000000"/>
    <numFmt numFmtId="166" formatCode="yyyy\-mm\-dd"/>
    <numFmt numFmtId="167" formatCode="0.000000%"/>
    <numFmt numFmtId="168" formatCode="0.000%"/>
    <numFmt numFmtId="169" formatCode="#,##0.000%"/>
    <numFmt numFmtId="170" formatCode="#,##0.000000%"/>
    <numFmt numFmtId="171" formatCode="#,##0.000"/>
    <numFmt numFmtId="172" formatCode="0.0%"/>
    <numFmt numFmtId="173" formatCode="_(* #,##0_);_(* \(#,##0\);_(* &quot;-&quot;??_);_(@_)"/>
  </numFmts>
  <fonts count="4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 applyBorder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1" fillId="0" borderId="0" xfId="2"/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right" vertical="center"/>
    </xf>
    <xf numFmtId="166" fontId="3" fillId="0" borderId="0" xfId="2" applyNumberFormat="1" applyFont="1" applyAlignment="1">
      <alignment horizontal="right" vertical="center"/>
    </xf>
    <xf numFmtId="167" fontId="3" fillId="0" borderId="0" xfId="2" applyNumberFormat="1" applyFont="1" applyAlignment="1">
      <alignment horizontal="right" vertical="center"/>
    </xf>
    <xf numFmtId="168" fontId="3" fillId="0" borderId="0" xfId="2" applyNumberFormat="1" applyFont="1" applyAlignment="1">
      <alignment horizontal="right" vertical="center"/>
    </xf>
    <xf numFmtId="2" fontId="3" fillId="0" borderId="0" xfId="2" applyNumberFormat="1" applyFont="1" applyAlignment="1">
      <alignment horizontal="right" vertical="center"/>
    </xf>
    <xf numFmtId="3" fontId="3" fillId="0" borderId="0" xfId="2" applyNumberFormat="1" applyFont="1" applyAlignment="1">
      <alignment horizontal="right" vertical="center"/>
    </xf>
    <xf numFmtId="1" fontId="3" fillId="0" borderId="0" xfId="2" applyNumberFormat="1" applyFont="1" applyAlignment="1">
      <alignment horizontal="right" vertical="center"/>
    </xf>
    <xf numFmtId="0" fontId="3" fillId="0" borderId="0" xfId="2" applyFont="1" applyAlignment="1">
      <alignment horizontal="right" vertical="center"/>
    </xf>
    <xf numFmtId="10" fontId="3" fillId="0" borderId="0" xfId="2" applyNumberFormat="1" applyFont="1" applyAlignment="1">
      <alignment horizontal="right" vertical="center"/>
    </xf>
    <xf numFmtId="169" fontId="3" fillId="0" borderId="0" xfId="2" applyNumberFormat="1" applyFont="1" applyAlignment="1">
      <alignment horizontal="right" vertical="center"/>
    </xf>
    <xf numFmtId="170" fontId="3" fillId="0" borderId="0" xfId="2" applyNumberFormat="1" applyFont="1" applyAlignment="1">
      <alignment horizontal="right" vertical="center"/>
    </xf>
    <xf numFmtId="171" fontId="3" fillId="0" borderId="0" xfId="2" applyNumberFormat="1" applyFont="1" applyAlignment="1">
      <alignment horizontal="right" vertical="center"/>
    </xf>
    <xf numFmtId="172" fontId="0" fillId="0" borderId="0" xfId="3" applyNumberFormat="1" applyFont="1"/>
    <xf numFmtId="173" fontId="0" fillId="0" borderId="0" xfId="4" applyNumberFormat="1" applyFont="1"/>
    <xf numFmtId="164" fontId="0" fillId="0" borderId="0" xfId="1" applyNumberFormat="1" applyFont="1" applyFill="1" applyAlignment="1" applyProtection="1">
      <alignment horizontal="center" vertical="center"/>
    </xf>
    <xf numFmtId="164" fontId="0" fillId="2" borderId="0" xfId="1" applyNumberFormat="1" applyFont="1" applyFill="1" applyAlignment="1" applyProtection="1">
      <alignment vertical="center"/>
    </xf>
    <xf numFmtId="164" fontId="0" fillId="0" borderId="0" xfId="1" applyNumberFormat="1" applyFont="1" applyFill="1" applyAlignment="1" applyProtection="1"/>
  </cellXfs>
  <cellStyles count="5">
    <cellStyle name="Comma 2" xfId="4"/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shi/projects/archre/analyses/Ad%20Hoc/2021-05%20Schroders%20Portfolio%20Optimization/coa_calc_july_v5_10_4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  <sheetName val="Portfolio Grid"/>
      <sheetName val="Positions"/>
      <sheetName val="Contract Tail YLT"/>
      <sheetName val="position specific criteria"/>
      <sheetName val="Cedants"/>
    </sheetNames>
    <sheetDataSet>
      <sheetData sheetId="0"/>
      <sheetData sheetId="1"/>
      <sheetData sheetId="2"/>
      <sheetData sheetId="3">
        <row r="2">
          <cell r="B2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8.7109375" style="21" bestFit="1" customWidth="1"/>
    <col min="2" max="2" width="13.28515625" bestFit="1" customWidth="1"/>
  </cols>
  <sheetData>
    <row r="1" spans="1:2" x14ac:dyDescent="0.25">
      <c r="A1" s="19" t="s">
        <v>7</v>
      </c>
      <c r="B1" s="1" t="s">
        <v>8</v>
      </c>
    </row>
    <row r="2" spans="1:2" x14ac:dyDescent="0.25">
      <c r="A2" s="20">
        <f>VLOOKUP(TEXT(B2, 0),Sheet2!A:L,12,FALSE)</f>
        <v>1.8654637783131349E-5</v>
      </c>
      <c r="B2">
        <v>51064</v>
      </c>
    </row>
  </sheetData>
  <dataValidations count="2">
    <dataValidation allowBlank="1" showInputMessage="1" showErrorMessage="1" promptTitle="The Revo Layer Identifier" prompt="e.g. 23697" sqref="B1"/>
    <dataValidation allowBlank="1" showInputMessage="1" showErrorMessage="1" promptTitle="Planned Share" prompt="e.g. 15%. For protection contracts enter a negative value." sqref="A1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1"/>
  <sheetViews>
    <sheetView workbookViewId="0"/>
  </sheetViews>
  <sheetFormatPr defaultRowHeight="15" x14ac:dyDescent="0.25"/>
  <cols>
    <col min="1" max="1" width="15.7109375" style="2" customWidth="1"/>
    <col min="2" max="2" width="57.42578125" style="2" bestFit="1" customWidth="1"/>
    <col min="3" max="3" width="62.140625" style="2" bestFit="1" customWidth="1"/>
    <col min="4" max="145" width="15.7109375" style="2" customWidth="1"/>
    <col min="146" max="16384" width="9.140625" style="2"/>
  </cols>
  <sheetData>
    <row r="1" spans="1:150" x14ac:dyDescent="0.25">
      <c r="A1" s="3" t="s">
        <v>5</v>
      </c>
      <c r="B1" s="3" t="s">
        <v>7</v>
      </c>
      <c r="C1" s="3" t="s">
        <v>8</v>
      </c>
      <c r="D1" s="4" t="s">
        <v>9</v>
      </c>
      <c r="E1" s="4" t="s">
        <v>10</v>
      </c>
      <c r="F1" s="5">
        <v>42.043900000000001</v>
      </c>
      <c r="G1" s="6">
        <v>44327</v>
      </c>
      <c r="H1" s="6">
        <v>44377</v>
      </c>
      <c r="I1" s="6">
        <v>44741</v>
      </c>
      <c r="J1" s="6">
        <v>44741</v>
      </c>
      <c r="K1" s="4"/>
      <c r="L1" s="7">
        <v>1.8654637783131349E-5</v>
      </c>
      <c r="M1" s="8">
        <v>8.5000000000000006E-2</v>
      </c>
      <c r="N1" s="8">
        <v>7.0974999999999996E-2</v>
      </c>
      <c r="O1" s="8">
        <v>5.8427534995500012E-2</v>
      </c>
      <c r="P1" s="8">
        <v>7.1730669903414104E-2</v>
      </c>
      <c r="Q1" s="9">
        <v>1</v>
      </c>
      <c r="R1" s="10">
        <v>127500</v>
      </c>
      <c r="S1" s="10">
        <v>1500000</v>
      </c>
      <c r="T1" s="10">
        <v>500000</v>
      </c>
      <c r="U1" s="4"/>
      <c r="V1" s="4" t="s">
        <v>11</v>
      </c>
      <c r="W1" s="11">
        <v>0</v>
      </c>
      <c r="X1" s="12" t="s">
        <v>1</v>
      </c>
      <c r="Y1" s="12" t="s">
        <v>3</v>
      </c>
      <c r="Z1" s="10">
        <v>100</v>
      </c>
      <c r="AA1" s="4"/>
      <c r="AB1" s="10">
        <v>68.738276465294106</v>
      </c>
      <c r="AC1" s="13">
        <v>0.64949595641478497</v>
      </c>
      <c r="AD1" s="10">
        <v>1176.4705882352939</v>
      </c>
      <c r="AE1" s="11">
        <v>3</v>
      </c>
      <c r="AF1" s="10">
        <v>3529.411764705882</v>
      </c>
      <c r="AG1" s="10">
        <v>88</v>
      </c>
      <c r="AH1" s="10">
        <v>83.5</v>
      </c>
      <c r="AI1" s="10">
        <v>6.640823018639824</v>
      </c>
      <c r="AJ1" s="10">
        <v>0</v>
      </c>
      <c r="AK1" s="10">
        <v>10</v>
      </c>
      <c r="AL1" s="10">
        <v>2</v>
      </c>
      <c r="AM1" s="10">
        <v>11.576328541025971</v>
      </c>
      <c r="AN1" s="10">
        <v>4.5</v>
      </c>
      <c r="AO1" s="4"/>
      <c r="AP1" s="10">
        <v>16.076328541025969</v>
      </c>
      <c r="AQ1" s="10">
        <v>0.31961180303614128</v>
      </c>
      <c r="AR1" s="10">
        <v>4.8196118030361417</v>
      </c>
      <c r="AS1" s="10">
        <v>4.5</v>
      </c>
      <c r="AT1" s="14">
        <v>4.4999999999999998E-2</v>
      </c>
      <c r="AU1" s="15">
        <v>4.4999999999999998E-2</v>
      </c>
      <c r="AV1" s="4"/>
      <c r="AW1" s="14">
        <v>3.2799597532906931E-3</v>
      </c>
      <c r="AX1" s="14">
        <v>0</v>
      </c>
      <c r="AY1" s="10">
        <v>0</v>
      </c>
      <c r="AZ1" s="14">
        <v>0</v>
      </c>
      <c r="BA1" s="10">
        <v>3529.411764705882</v>
      </c>
      <c r="BB1" s="4"/>
      <c r="BC1" s="10">
        <v>-83.5</v>
      </c>
      <c r="BD1" s="10">
        <v>0</v>
      </c>
      <c r="BE1" s="10">
        <v>8.6394960319995793</v>
      </c>
      <c r="BF1" s="14">
        <v>-0.10346701834730029</v>
      </c>
      <c r="BG1" s="14">
        <v>1.3759264999163581E-6</v>
      </c>
      <c r="BH1" s="14">
        <v>-0.86136133483801225</v>
      </c>
      <c r="BI1" s="14">
        <v>-0.86136133483801225</v>
      </c>
      <c r="BJ1" s="14">
        <v>-3.5342534968048879E-2</v>
      </c>
      <c r="BK1" s="14">
        <v>-1.255439488689891E-5</v>
      </c>
      <c r="BL1" s="14">
        <v>0.91836691248611024</v>
      </c>
      <c r="BM1" s="14">
        <v>8.1633087513889813E-2</v>
      </c>
      <c r="BN1" s="10">
        <v>71.923671458974027</v>
      </c>
      <c r="BO1" s="10">
        <v>71.923671458974027</v>
      </c>
      <c r="BP1" s="3" t="s">
        <v>12</v>
      </c>
      <c r="BQ1" s="3"/>
      <c r="BR1" s="14">
        <v>0.1</v>
      </c>
      <c r="BS1" s="12" t="s">
        <v>2</v>
      </c>
      <c r="BT1" s="14">
        <v>0</v>
      </c>
      <c r="BU1" s="14">
        <v>0</v>
      </c>
      <c r="BV1" s="14">
        <v>0</v>
      </c>
      <c r="BW1" s="14">
        <v>0.02</v>
      </c>
      <c r="BX1" s="14">
        <v>0</v>
      </c>
      <c r="BY1" s="10">
        <v>5.8332631425899999</v>
      </c>
      <c r="BZ1" s="10">
        <v>5.7165978797381998</v>
      </c>
      <c r="CA1" s="10">
        <v>0</v>
      </c>
      <c r="CB1" s="16">
        <v>0</v>
      </c>
      <c r="CC1" s="4" t="b">
        <v>0</v>
      </c>
      <c r="CD1" s="4" t="b">
        <v>0</v>
      </c>
      <c r="CE1" s="3" t="s">
        <v>13</v>
      </c>
      <c r="CF1" s="4"/>
      <c r="CG1" s="4" t="b">
        <v>0</v>
      </c>
      <c r="CH1" s="4" t="b">
        <v>0</v>
      </c>
      <c r="CI1" s="4" t="s">
        <v>0</v>
      </c>
      <c r="CJ1" s="4" t="b">
        <v>0</v>
      </c>
      <c r="CK1" s="3" t="s">
        <v>14</v>
      </c>
      <c r="CL1" s="4" t="s">
        <v>4</v>
      </c>
      <c r="CM1" s="4"/>
      <c r="CN1" s="4"/>
      <c r="CO1" s="3" t="s">
        <v>5</v>
      </c>
      <c r="CP1" s="4"/>
      <c r="CQ1" s="4"/>
      <c r="CR1" s="4"/>
      <c r="CS1" s="4"/>
      <c r="CT1" s="4"/>
      <c r="CU1" s="4"/>
      <c r="CV1" s="4"/>
      <c r="CW1" s="4" t="b">
        <v>0</v>
      </c>
      <c r="CX1" s="3"/>
      <c r="CY1" s="10">
        <v>0</v>
      </c>
      <c r="CZ1" s="4" t="b">
        <v>0</v>
      </c>
      <c r="DA1" s="14">
        <v>0</v>
      </c>
      <c r="DB1" s="10">
        <v>0</v>
      </c>
      <c r="DC1" s="10">
        <v>0</v>
      </c>
      <c r="DD1" s="4"/>
      <c r="DE1" s="14">
        <v>0</v>
      </c>
      <c r="DF1" s="10">
        <v>0</v>
      </c>
      <c r="DG1" s="14">
        <v>0</v>
      </c>
      <c r="DH1" s="14">
        <v>0.1</v>
      </c>
      <c r="DI1" s="10">
        <v>117.64705882352941</v>
      </c>
      <c r="DJ1" s="14">
        <v>0.21418159555235439</v>
      </c>
      <c r="DK1" s="10">
        <v>251.97834770865211</v>
      </c>
      <c r="DL1" s="14">
        <v>2.3553612818440761E-5</v>
      </c>
      <c r="DM1" s="10">
        <v>3258.911764705882</v>
      </c>
      <c r="DN1" s="14">
        <v>1.0256220499444959</v>
      </c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Q1" s="17" t="s">
        <v>6</v>
      </c>
      <c r="ER1" s="17">
        <v>1.4214999981278845E-3</v>
      </c>
      <c r="ES1" s="18">
        <v>89648.105656933447</v>
      </c>
      <c r="ET1" s="17">
        <v>1.3123206336756597E-2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1" manualMin="0" type="column" displayEmptyCellsAs="gap" minAxisType="custom" maxAxisType="custom">
          <x14:colorSeries rgb="FFF44336"/>
          <x14:colorNegative theme="5"/>
          <x14:colorAxis rgb="FF000000"/>
          <x14:colorMarkers theme="4" tint="-0.499984740745262"/>
          <x14:colorFirst theme="4" tint="0.4"/>
          <x14:colorLast theme="4" tint="0.4"/>
          <x14:colorHigh theme="4"/>
          <x14:colorLow theme="4"/>
          <x14:sparklines>
            <x14:sparkline>
              <xm:f>'[1]Contract Tail YLT'!B46:E46</xm:f>
              <xm:sqref>EP1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2021-06-23T19:22:09Z</dcterms:created>
  <dcterms:modified xsi:type="dcterms:W3CDTF">2021-06-23T20:57:05Z</dcterms:modified>
</cp:coreProperties>
</file>