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filterPrivacy="1" codeName="ThisWorkbook"/>
  <x:bookViews>
    <x:workbookView xWindow="-120" yWindow="-120" windowWidth="29040" windowHeight="17640" firstSheet="0" activeTab="0"/>
  </x:bookViews>
  <x:sheets>
    <x:sheet name="Sheet1" sheetId="4" r:id="rId1"/>
    <x:sheet name="Sheet2" sheetId="5" r:id="rId2"/>
  </x:sheets>
  <x:externalReferences>
    <x:externalReference r:id="rId3"/>
  </x:externalReference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A2" i="4"/>
</x:calcChain>
</file>

<file path=xl/sharedStrings.xml><?xml version="1.0" encoding="utf-8"?>
<x:sst xmlns:x="http://schemas.openxmlformats.org/spreadsheetml/2006/main">
  <x:si>
    <x:t>a</x:t>
  </x:si>
  <x:si>
    <x:t>b</x:t>
  </x:si>
  <x:si>
    <x:t>51064</x:t>
  </x:si>
  <x:si>
    <x:t>c</x:t>
  </x:si>
  <x:si>
    <x:t>d</x:t>
  </x:si>
  <x:si>
    <x:t>f</x:t>
  </x:si>
  <x:si>
    <x:t>1.0,1.0</x:t>
  </x:si>
  <x:si>
    <x:t>False,False</x:t>
  </x:si>
  <x:si>
    <x:t>g</x:t>
  </x:si>
  <x:si>
    <x:t>0.0,0.0</x:t>
  </x:si>
  <x:si>
    <x:t>h</x:t>
  </x:si>
  <x:si>
    <x:t>B</x:t>
  </x:si>
  <x:si>
    <x:t>i</x:t>
  </x:si>
  <x:si>
    <x:t>ARL</x:t>
  </x:si>
  <x:si>
    <x:t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</x:si>
</x:sst>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1">
    <x:numFmt numFmtId="43" formatCode="_(* #,##0.00_);_(* \(#,##0.00\);_(* &quot;-&quot;??_);_(@_)"/>
    <x:numFmt numFmtId="164" formatCode="0.0000%"/>
    <x:numFmt numFmtId="165" formatCode="0.000000"/>
    <x:numFmt numFmtId="166" formatCode="yyyy\-mm\-dd"/>
    <x:numFmt numFmtId="167" formatCode="0.000000%"/>
    <x:numFmt numFmtId="168" formatCode="0.000%"/>
    <x:numFmt numFmtId="169" formatCode="#,##0.000%"/>
    <x:numFmt numFmtId="170" formatCode="#,##0.000000%"/>
    <x:numFmt numFmtId="171" formatCode="#,##0.000"/>
    <x:numFmt numFmtId="172" formatCode="0.0%"/>
    <x:numFmt numFmtId="173" formatCode="_(* #,##0_);_(* \(#,##0\);_(* &quot;-&quot;??_);_(@_)"/>
  </x:numFmts>
  <x:fonts count="4" x14ac:knownFonts="1">
    <x:font>
      <x:sz val="11"/>
      <x:color rgb="FF000000"/>
      <x:name val="Calibri"/>
      <x:family val="2"/>
    </x:font>
    <x:font>
      <x:sz val="11"/>
      <x:color theme="1"/>
      <x:name val="Calibri"/>
      <x:family val="2"/>
      <x:scheme val="minor"/>
    </x:font>
    <x:font>
      <x:sz val="11"/>
      <x:color rgb="FF000000"/>
      <x:name val="Calibri"/>
      <x:family val="2"/>
    </x:font>
    <x:font>
      <x:sz val="11"/>
      <x:color theme="1"/>
      <x:name val="Consola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4.9989318521683403E-2"/>
        <x:bgColor indexed="64"/>
      </x:patternFill>
    </x:fill>
  </x:fills>
  <x:borders count="1">
    <x:border>
      <x:left/>
      <x:right/>
      <x:top/>
      <x:bottom/>
      <x:diagonal/>
    </x:border>
  </x:borders>
  <x:cellStyleXfs count="21">
    <x:xf numFmtId="0" fontId="0" fillId="0" borderId="0" applyBorder="0"/>
    <x:xf numFmtId="9" fontId="2" fillId="0" borderId="0" applyFont="0" applyFill="0" applyBorder="0" applyAlignment="0" applyProtection="0"/>
    <x:xf numFmtId="0" fontId="1" fillId="0" borderId="0"/>
    <x:xf numFmtId="9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3" fontId="3" fillId="0" borderId="0" applyNumberFormat="1" applyFill="1" applyBorder="0" applyAlignment="1" applyProtection="1">
      <x:protection locked="1" hidden="0"/>
    </x:xf>
    <x:xf numFmtId="1" fontId="3" fillId="0" borderId="0" applyNumberFormat="1" applyFill="1" applyBorder="0" applyAlignment="1" applyProtection="1">
      <x:protection locked="1" hidden="0"/>
    </x:xf>
    <x:xf numFmtId="10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70" fontId="3" fillId="0" borderId="0" applyNumberFormat="1" applyFill="1" applyBorder="0" applyAlignment="1" applyProtection="1">
      <x:protection locked="1" hidden="0"/>
    </x:xf>
    <x:xf numFmtId="171" fontId="3" fillId="0" borderId="0" applyNumberFormat="1" applyFill="1" applyBorder="0" applyAlignment="1" applyProtection="1">
      <x:protection locked="1" hidden="0"/>
    </x:xf>
    <x:xf numFmtId="172" fontId="0" fillId="0" borderId="0" applyNumberFormat="1" applyFill="1" applyBorder="0" applyAlignment="1" applyProtection="1">
      <x:protection locked="1" hidden="0"/>
    </x:xf>
    <x:xf numFmtId="173" fontId="0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horizontal="center" vertical="center"/>
    </x:xf>
    <x:xf numFmtId="0" fontId="1" fillId="0" borderId="0" xfId="2"/>
    <x:xf numFmtId="0" fontId="3" fillId="0" borderId="0" xfId="2" applyFont="1" applyAlignment="1">
      <x:alignment horizontal="left" vertical="center"/>
    </x:xf>
    <x:xf numFmtId="0" fontId="3" fillId="0" borderId="0" xfId="2" applyFont="1" applyAlignment="1">
      <x:alignment horizontal="center" vertical="center"/>
    </x:xf>
    <x:xf numFmtId="165" fontId="3" fillId="0" borderId="0" xfId="2" applyNumberFormat="1" applyFont="1" applyAlignment="1">
      <x:alignment horizontal="right" vertical="center"/>
    </x:xf>
    <x:xf numFmtId="166" fontId="3" fillId="0" borderId="0" xfId="2" applyNumberFormat="1" applyFont="1" applyAlignment="1">
      <x:alignment horizontal="right" vertical="center"/>
    </x:xf>
    <x:xf numFmtId="167" fontId="3" fillId="0" borderId="0" xfId="2" applyNumberFormat="1" applyFont="1" applyAlignment="1">
      <x:alignment horizontal="right" vertical="center"/>
    </x:xf>
    <x:xf numFmtId="168" fontId="3" fillId="0" borderId="0" xfId="2" applyNumberFormat="1" applyFont="1" applyAlignment="1">
      <x:alignment horizontal="right" vertical="center"/>
    </x:xf>
    <x:xf numFmtId="2" fontId="3" fillId="0" borderId="0" xfId="2" applyNumberFormat="1" applyFont="1" applyAlignment="1">
      <x:alignment horizontal="right" vertical="center"/>
    </x:xf>
    <x:xf numFmtId="3" fontId="3" fillId="0" borderId="0" xfId="2" applyNumberFormat="1" applyFont="1" applyAlignment="1">
      <x:alignment horizontal="right" vertical="center"/>
    </x:xf>
    <x:xf numFmtId="1" fontId="3" fillId="0" borderId="0" xfId="2" applyNumberFormat="1" applyFont="1" applyAlignment="1">
      <x:alignment horizontal="right" vertical="center"/>
    </x:xf>
    <x:xf numFmtId="0" fontId="3" fillId="0" borderId="0" xfId="2" applyFont="1" applyAlignment="1">
      <x:alignment horizontal="right" vertical="center"/>
    </x:xf>
    <x:xf numFmtId="10" fontId="3" fillId="0" borderId="0" xfId="2" applyNumberFormat="1" applyFont="1" applyAlignment="1">
      <x:alignment horizontal="right" vertical="center"/>
    </x:xf>
    <x:xf numFmtId="169" fontId="3" fillId="0" borderId="0" xfId="2" applyNumberFormat="1" applyFont="1" applyAlignment="1">
      <x:alignment horizontal="right" vertical="center"/>
    </x:xf>
    <x:xf numFmtId="170" fontId="3" fillId="0" borderId="0" xfId="2" applyNumberFormat="1" applyFont="1" applyAlignment="1">
      <x:alignment horizontal="right" vertical="center"/>
    </x:xf>
    <x:xf numFmtId="171" fontId="3" fillId="0" borderId="0" xfId="2" applyNumberFormat="1" applyFont="1" applyAlignment="1">
      <x:alignment horizontal="right" vertical="center"/>
    </x:xf>
    <x:xf numFmtId="172" fontId="0" fillId="0" borderId="0" xfId="3" applyNumberFormat="1" applyFont="1"/>
    <x:xf numFmtId="173" fontId="0" fillId="0" borderId="0" xfId="4" applyNumberFormat="1" applyFont="1"/>
    <x:xf numFmtId="164" fontId="0" fillId="0" borderId="0" xfId="1" applyNumberFormat="1" applyFont="1" applyFill="1" applyAlignment="1" applyProtection="1">
      <x:alignment horizontal="center" vertical="center"/>
    </x:xf>
    <x:xf numFmtId="164" fontId="0" fillId="2" borderId="0" xfId="1" applyNumberFormat="1" applyFont="1" applyFill="1" applyAlignment="1" applyProtection="1">
      <x:alignment vertical="center"/>
    </x:xf>
    <x:xf numFmtId="164" fontId="0" fillId="0" borderId="0" xfId="1" applyNumberFormat="1" applyFont="1" applyFill="1" applyAlignment="1" applyProtection="1"/>
    <x:xf numFmtId="164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5">
    <x:cellStyle name="Comma 2" xfId="4"/>
    <x:cellStyle name="Normal" xfId="0" builtinId="0"/>
    <x:cellStyle name="Normal 2" xfId="2"/>
    <x:cellStyle name="Percent" xfId="1" builtinId="5"/>
    <x:cellStyle name="Percent 2" xfId="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shi/projects/archre/analyses/Ad%20Hoc/2021-05%20Schroders%20Portfolio%20Optimization/coa_calc_july_v5_10_4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  <sheetName val="Portfolio Grid"/>
      <sheetName val="Positions"/>
      <sheetName val="Contract Tail YLT"/>
      <sheetName val="position specific criteria"/>
      <sheetName val="Cedants"/>
    </sheetNames>
    <sheetDataSet>
      <sheetData sheetId="0"/>
      <sheetData sheetId="1"/>
      <sheetData sheetId="2"/>
      <sheetData sheetId="3">
        <row r="2">
          <cell r="B2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tabSelected="1" workbookViewId="0">
      <x:selection activeCell="A2" sqref="A2"/>
    </x:sheetView>
  </x:sheetViews>
  <x:sheetFormatPr defaultRowHeight="15" x14ac:dyDescent="0.25"/>
  <x:cols>
    <x:col min="1" max="1" width="8.710938" style="21" bestFit="1" customWidth="1"/>
    <x:col min="2" max="2" width="13.285156" style="0" bestFit="1" customWidth="1"/>
  </x:cols>
  <x:sheetData>
    <x:row r="1" spans="1:2" x14ac:dyDescent="0.25">
      <x:c r="A1" s="19" t="s">
        <x:v>0</x:v>
      </x:c>
      <x:c r="B1" s="1" t="s">
        <x:v>1</x:v>
      </x:c>
    </x:row>
    <x:row r="2" spans="1:2" x14ac:dyDescent="0.25">
      <x:c r="A2" s="22">
        <x:f>VLOOKUP(TEXT(B2, 0),Sheet2!A:L,12,FALSE)</x:f>
      </x:c>
      <x:c r="B2" s="0">
        <x:v>51064</x:v>
      </x:c>
    </x:row>
  </x:sheetData>
  <x:dataValidations count="2">
    <x:dataValidation type="none" errorStyle="stop" operator="between" allowBlank="1" showDropDown="0" showInputMessage="1" showErrorMessage="1" errorTitle="" error="" promptTitle="The Revo Layer Identifier" prompt="e.g. 23697" sqref="B1:B1">
      <x:formula1/>
      <x:formula2/>
    </x:dataValidation>
    <x:dataValidation type="none" errorStyle="stop" operator="between" allowBlank="1" showDropDown="0" showInputMessage="1" showErrorMessage="1" errorTitle="" error="" promptTitle="Planned Share" prompt="e.g. 15%. For protection contracts enter a negative value." sqref="A1:A1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T1"/>
  <x:sheetViews>
    <x:sheetView workbookViewId="0"/>
  </x:sheetViews>
  <x:sheetFormatPr defaultColWidth="9.140625" defaultRowHeight="15" x14ac:dyDescent="0.25"/>
  <x:cols>
    <x:col min="1" max="1" width="15.710938" style="2" customWidth="1"/>
    <x:col min="2" max="2" width="57.425781" style="2" bestFit="1" customWidth="1"/>
    <x:col min="3" max="3" width="62.140625" style="2" bestFit="1" customWidth="1"/>
    <x:col min="4" max="145" width="15.710938" style="2" customWidth="1"/>
    <x:col min="146" max="16384" width="9.140625" style="2" customWidth="1"/>
  </x:cols>
  <x:sheetData>
    <x:row r="1" spans="1:150" x14ac:dyDescent="0.25">
      <x:c r="A1" s="3" t="s">
        <x:v>2</x:v>
      </x:c>
      <x:c r="B1" s="3" t="s">
        <x:v>0</x:v>
      </x:c>
      <x:c r="C1" s="3" t="s">
        <x:v>1</x:v>
      </x:c>
      <x:c r="D1" s="4" t="s">
        <x:v>3</x:v>
      </x:c>
      <x:c r="E1" s="4" t="s">
        <x:v>4</x:v>
      </x:c>
      <x:c r="F1" s="5">
        <x:v>42.0439</x:v>
      </x:c>
      <x:c r="G1" s="6">
        <x:v>44327</x:v>
      </x:c>
      <x:c r="H1" s="6">
        <x:v>44377</x:v>
      </x:c>
      <x:c r="I1" s="6">
        <x:v>44741</x:v>
      </x:c>
      <x:c r="J1" s="6">
        <x:v>44741</x:v>
      </x:c>
      <x:c r="K1" s="4"/>
      <x:c r="L1" s="7">
        <x:v>1.86546377831313E-05</x:v>
      </x:c>
      <x:c r="M1" s="8">
        <x:v>0.085</x:v>
      </x:c>
      <x:c r="N1" s="8">
        <x:v>0.070975</x:v>
      </x:c>
      <x:c r="O1" s="8">
        <x:v>0.0584275349955</x:v>
      </x:c>
      <x:c r="P1" s="8">
        <x:v>0.0717306699034141</x:v>
      </x:c>
      <x:c r="Q1" s="9">
        <x:v>1</x:v>
      </x:c>
      <x:c r="R1" s="10">
        <x:v>127500</x:v>
      </x:c>
      <x:c r="S1" s="10">
        <x:v>1500000</x:v>
      </x:c>
      <x:c r="T1" s="10">
        <x:v>500000</x:v>
      </x:c>
      <x:c r="U1" s="4"/>
      <x:c r="V1" s="4" t="s">
        <x:v>5</x:v>
      </x:c>
      <x:c r="W1" s="11">
        <x:v>0</x:v>
      </x:c>
      <x:c r="X1" s="12" t="s">
        <x:v>6</x:v>
      </x:c>
      <x:c r="Y1" s="12" t="s">
        <x:v>7</x:v>
      </x:c>
      <x:c r="Z1" s="10">
        <x:v>100</x:v>
      </x:c>
      <x:c r="AA1" s="4"/>
      <x:c r="AB1" s="10">
        <x:v>68.7382764652941</x:v>
      </x:c>
      <x:c r="AC1" s="13">
        <x:v>0.649495956414785</x:v>
      </x:c>
      <x:c r="AD1" s="10">
        <x:v>1176.47058823529</x:v>
      </x:c>
      <x:c r="AE1" s="11">
        <x:v>3</x:v>
      </x:c>
      <x:c r="AF1" s="10">
        <x:v>3529.41176470588</x:v>
      </x:c>
      <x:c r="AG1" s="10">
        <x:v>88</x:v>
      </x:c>
      <x:c r="AH1" s="10">
        <x:v>83.5</x:v>
      </x:c>
      <x:c r="AI1" s="10">
        <x:v>6.64082301863982</x:v>
      </x:c>
      <x:c r="AJ1" s="10">
        <x:v>0</x:v>
      </x:c>
      <x:c r="AK1" s="10">
        <x:v>10</x:v>
      </x:c>
      <x:c r="AL1" s="10">
        <x:v>2</x:v>
      </x:c>
      <x:c r="AM1" s="10">
        <x:v>11.576328541026</x:v>
      </x:c>
      <x:c r="AN1" s="10">
        <x:v>4.5</x:v>
      </x:c>
      <x:c r="AO1" s="4"/>
      <x:c r="AP1" s="10">
        <x:v>16.076328541026</x:v>
      </x:c>
      <x:c r="AQ1" s="10">
        <x:v>0.319611803036141</x:v>
      </x:c>
      <x:c r="AR1" s="10">
        <x:v>4.81961180303614</x:v>
      </x:c>
      <x:c r="AS1" s="10">
        <x:v>4.5</x:v>
      </x:c>
      <x:c r="AT1" s="14">
        <x:v>0.045</x:v>
      </x:c>
      <x:c r="AU1" s="15">
        <x:v>0.045</x:v>
      </x:c>
      <x:c r="AV1" s="4"/>
      <x:c r="AW1" s="14">
        <x:v>0.00327995975329069</x:v>
      </x:c>
      <x:c r="AX1" s="14">
        <x:v>0</x:v>
      </x:c>
      <x:c r="AY1" s="10">
        <x:v>0</x:v>
      </x:c>
      <x:c r="AZ1" s="14">
        <x:v>0</x:v>
      </x:c>
      <x:c r="BA1" s="10">
        <x:v>3529.41176470588</x:v>
      </x:c>
      <x:c r="BB1" s="4"/>
      <x:c r="BC1" s="10">
        <x:v>-83.5</x:v>
      </x:c>
      <x:c r="BD1" s="10">
        <x:v>0</x:v>
      </x:c>
      <x:c r="BE1" s="10">
        <x:v>8.63949603199958</x:v>
      </x:c>
      <x:c r="BF1" s="14">
        <x:v>-0.1034670183473</x:v>
      </x:c>
      <x:c r="BG1" s="14">
        <x:v>1.37592649991636E-06</x:v>
      </x:c>
      <x:c r="BH1" s="14">
        <x:v>-0.861361334838012</x:v>
      </x:c>
      <x:c r="BI1" s="14">
        <x:v>-0.861361334838012</x:v>
      </x:c>
      <x:c r="BJ1" s="14">
        <x:v>-0.0353425349680489</x:v>
      </x:c>
      <x:c r="BK1" s="14">
        <x:v>-1.25543948868989E-05</x:v>
      </x:c>
      <x:c r="BL1" s="14">
        <x:v>0.91836691248611</x:v>
      </x:c>
      <x:c r="BM1" s="14">
        <x:v>0.0816330875138898</x:v>
      </x:c>
      <x:c r="BN1" s="10">
        <x:v>71.923671458974</x:v>
      </x:c>
      <x:c r="BO1" s="10">
        <x:v>71.923671458974</x:v>
      </x:c>
      <x:c r="BP1" s="3" t="s">
        <x:v>8</x:v>
      </x:c>
      <x:c r="BQ1" s="3"/>
      <x:c r="BR1" s="14">
        <x:v>0.1</x:v>
      </x:c>
      <x:c r="BS1" s="12" t="s">
        <x:v>9</x:v>
      </x:c>
      <x:c r="BT1" s="14">
        <x:v>0</x:v>
      </x:c>
      <x:c r="BU1" s="14">
        <x:v>0</x:v>
      </x:c>
      <x:c r="BV1" s="14">
        <x:v>0</x:v>
      </x:c>
      <x:c r="BW1" s="14">
        <x:v>0.02</x:v>
      </x:c>
      <x:c r="BX1" s="14">
        <x:v>0</x:v>
      </x:c>
      <x:c r="BY1" s="10">
        <x:v>5.83326314259</x:v>
      </x:c>
      <x:c r="BZ1" s="10">
        <x:v>5.7165978797382</x:v>
      </x:c>
      <x:c r="CA1" s="10">
        <x:v>0</x:v>
      </x:c>
      <x:c r="CB1" s="16">
        <x:v>0</x:v>
      </x:c>
      <x:c r="CC1" s="4" t="b">
        <x:v>0</x:v>
      </x:c>
      <x:c r="CD1" s="4" t="b">
        <x:v>0</x:v>
      </x:c>
      <x:c r="CE1" s="3" t="s">
        <x:v>10</x:v>
      </x:c>
      <x:c r="CF1" s="4"/>
      <x:c r="CG1" s="4" t="b">
        <x:v>0</x:v>
      </x:c>
      <x:c r="CH1" s="4" t="b">
        <x:v>0</x:v>
      </x:c>
      <x:c r="CI1" s="4" t="s">
        <x:v>11</x:v>
      </x:c>
      <x:c r="CJ1" s="4" t="b">
        <x:v>0</x:v>
      </x:c>
      <x:c r="CK1" s="3" t="s">
        <x:v>12</x:v>
      </x:c>
      <x:c r="CL1" s="4" t="s">
        <x:v>13</x:v>
      </x:c>
      <x:c r="CM1" s="4"/>
      <x:c r="CN1" s="4"/>
      <x:c r="CO1" s="3" t="s">
        <x:v>2</x:v>
      </x:c>
      <x:c r="CP1" s="4"/>
      <x:c r="CQ1" s="4"/>
      <x:c r="CR1" s="4"/>
      <x:c r="CS1" s="4"/>
      <x:c r="CT1" s="4"/>
      <x:c r="CU1" s="4"/>
      <x:c r="CV1" s="4"/>
      <x:c r="CW1" s="4" t="b">
        <x:v>0</x:v>
      </x:c>
      <x:c r="CX1" s="3"/>
      <x:c r="CY1" s="10">
        <x:v>0</x:v>
      </x:c>
      <x:c r="CZ1" s="4" t="b">
        <x:v>0</x:v>
      </x:c>
      <x:c r="DA1" s="14">
        <x:v>0</x:v>
      </x:c>
      <x:c r="DB1" s="10">
        <x:v>0</x:v>
      </x:c>
      <x:c r="DC1" s="10">
        <x:v>0</x:v>
      </x:c>
      <x:c r="DD1" s="4"/>
      <x:c r="DE1" s="14">
        <x:v>0</x:v>
      </x:c>
      <x:c r="DF1" s="10">
        <x:v>0</x:v>
      </x:c>
      <x:c r="DG1" s="14">
        <x:v>0</x:v>
      </x:c>
      <x:c r="DH1" s="14">
        <x:v>0.1</x:v>
      </x:c>
      <x:c r="DI1" s="10">
        <x:v>117.647058823529</x:v>
      </x:c>
      <x:c r="DJ1" s="14">
        <x:v>0.214181595552354</x:v>
      </x:c>
      <x:c r="DK1" s="10">
        <x:v>251.978347708652</x:v>
      </x:c>
      <x:c r="DL1" s="14">
        <x:v>2.35536128184408E-05</x:v>
      </x:c>
      <x:c r="DM1" s="10">
        <x:v>3258.91176470588</x:v>
      </x:c>
      <x:c r="DN1" s="14">
        <x:v>1.0256220499445</x:v>
      </x:c>
      <x:c r="DO1" s="4"/>
      <x:c r="DP1" s="4"/>
      <x:c r="DQ1" s="4"/>
      <x:c r="DR1" s="4"/>
      <x:c r="DS1" s="4"/>
      <x:c r="DT1" s="4"/>
      <x:c r="DU1" s="4"/>
      <x:c r="DV1" s="4"/>
      <x:c r="DW1" s="4"/>
      <x:c r="DX1" s="4"/>
      <x:c r="DY1" s="4"/>
      <x:c r="DZ1" s="4"/>
      <x:c r="EA1" s="4"/>
      <x:c r="EB1" s="4"/>
      <x:c r="EC1" s="4"/>
      <x:c r="ED1" s="4"/>
      <x:c r="EE1" s="4"/>
      <x:c r="EF1" s="4"/>
      <x:c r="EG1" s="4"/>
      <x:c r="EH1" s="4"/>
      <x:c r="EI1" s="4"/>
      <x:c r="EJ1" s="4"/>
      <x:c r="EK1" s="4"/>
      <x:c r="EL1" s="4"/>
      <x:c r="EM1" s="4"/>
      <x:c r="EN1" s="4"/>
      <x:c r="EO1" s="4"/>
      <x:c r="EQ1" s="17" t="s">
        <x:v>14</x:v>
      </x:c>
      <x:c r="ER1" s="17">
        <x:v>0.00142149999812788</x:v>
      </x:c>
      <x:c r="ES1" s="18">
        <x:v>89648.1056569334</x:v>
      </x:c>
      <x:c r="ET1" s="17">
        <x:v>0.0131232063367566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manualMax="1" manualMin="0" lineWeight="0.75" type="column" dateAxis="0" displayEmptyCellsAs="gap" markers="0" high="0" low="0" first="0" last="0" negative="0" displayXAxis="0" displayHidden="0" minAxisType="custom" maxAxisType="custom" rightToLeft="0" xr2:uid="{A98FF5F8-AE60-43B5-8001-AD89004F45D3}">
          <x14:colorSeries rgb="FFF44336"/>
          <x14:colorNegative theme="5"/>
          <x14:colorAxis rgb="FF000000"/>
          <x14:colorMarkers theme="4" tint="-0.499984740745262"/>
          <x14:colorFirst theme="4" tint="0.4"/>
          <x14:colorLast theme="4" tint="0.4"/>
          <x14:colorHigh theme="4"/>
          <x14:colorLow theme="4"/>
          <x14:sparklines>
            <x14:sparkline>
              <xm:f>'[1]Contract Tail YLT'!B46:E46</xm:f>
              <xm:sqref>EP1</xm:sqref>
            </x14:sparkline>
          </x14:sparklines>
        </x14:sparklineGroup>
      </x14:sparklineGroup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Sheet1</vt:lpstr>
      <vt:lpstr>Sheet2</vt:lpstr>
      <vt:lpstr>Sheet1!_xlnm._FilterDatabase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/>
  <dcterms:created xsi:type="dcterms:W3CDTF">2021-06-23T19:22:09.0000000Z</dcterms:created>
  <dcterms:modified xsi:type="dcterms:W3CDTF">2021-06-23T20:57:05.0000000Z</dcterms:modified>
</coreProperties>
</file>